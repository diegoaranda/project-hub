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4a59d514c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2f86c48168984c8c"/>
    <x:sheet xmlns:r="http://schemas.openxmlformats.org/officeDocument/2006/relationships" name="Matriz Ejecutiva" sheetId="2" r:id="Re2b69f63321c4ab4"/>
    <x:sheet xmlns:r="http://schemas.openxmlformats.org/officeDocument/2006/relationships" name="Catálogos" sheetId="3" r:id="Rb2393d152ede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1">
    <x:font>
      <x:sz val="11"/>
      <x:name val="Carlito"/>
    </x:font>
    <x:font>
      <x:b/>
      <x:sz val="18"/>
      <x:color rgb="FFFFFFFF"/>
      <x:name val="Carlito"/>
    </x:font>
    <x:font>
      <x:sz val="10"/>
      <x:color rgb="FFDCE6F1"/>
      <x:name val="Carlito"/>
    </x:font>
    <x:font>
      <x:i/>
      <x:sz val="9"/>
      <x:color rgb="FF1F4E78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  <x:font>
      <x:b/>
      <x:sz val="11"/>
      <x:color rgb="FFFFFFFF"/>
      <x:name val="Carlito"/>
    </x:font>
    <x:font>
      <x:sz val="11"/>
      <x:color rgb="FF243447"/>
      <x:name val="Carlito"/>
    </x:font>
    <x:font>
      <x:b/>
      <x:sz val="20"/>
      <x:color rgb="FFFFFFFF"/>
      <x:name val="Carlito"/>
    </x:font>
    <x:font>
      <x:sz val="11"/>
      <x:color rgb="FFDCE6F1"/>
      <x:name val="Carlito"/>
    </x:font>
    <x:font>
      <x:b/>
      <x:sz val="9"/>
      <x:color rgb="FF1F4E78"/>
      <x:name val="Carlito"/>
    </x:font>
    <x:font>
      <x:b/>
      <x:sz val="22"/>
      <x:color rgb="FF1F4E78"/>
      <x:name val="Carlito"/>
    </x:font>
    <x:font>
      <x:b/>
      <x:sz val="9"/>
      <x:color rgb="FF2E7D32"/>
      <x:name val="Carlito"/>
    </x:font>
    <x:font>
      <x:b/>
      <x:sz val="22"/>
      <x:color rgb="FF2E7D32"/>
      <x:name val="Carlito"/>
    </x:font>
    <x:font>
      <x:b/>
      <x:sz val="9"/>
      <x:color rgb="FFB7791F"/>
      <x:name val="Carlito"/>
    </x:font>
    <x:font>
      <x:b/>
      <x:sz val="22"/>
      <x:color rgb="FFB7791F"/>
      <x:name val="Carlito"/>
    </x:font>
    <x:font>
      <x:b/>
      <x:sz val="9"/>
      <x:color rgb="FF607D8B"/>
      <x:name val="Carlito"/>
    </x:font>
    <x:font>
      <x:b/>
      <x:sz val="22"/>
      <x:color rgb="FF607D8B"/>
      <x:name val="Carlito"/>
    </x:font>
    <x:font>
      <x:sz val="10"/>
      <x:color rgb="FF243447"/>
      <x:name val="Carlito"/>
    </x:font>
    <x:font>
      <x:b/>
      <x:sz val="11"/>
      <x:color rgb="FF1F4E78"/>
      <x:name val="Carlito"/>
    </x:font>
    <x:font>
      <x:b/>
      <x:sz val="18"/>
      <x:color rgb="FF1F4E7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D9EAF7"/>
      </x:patternFill>
    </x:fill>
    <x:fill>
      <x:patternFill patternType="solid">
        <x:fgColor rgb="FFE8F5E9"/>
      </x:patternFill>
    </x:fill>
    <x:fill>
      <x:patternFill patternType="solid">
        <x:fgColor rgb="FFFFF4D6"/>
      </x:patternFill>
    </x:fill>
    <x:fill>
      <x:patternFill patternType="solid">
        <x:fgColor rgb="FFECEFF1"/>
      </x:patternFill>
    </x:fill>
    <x:fill>
      <x:patternFill patternType="solid">
        <x:fgColor rgb="FFF8FAFC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horizontal="center"/>
    </x:xf>
    <x:xf numFmtId="0" fontId="10" fillId="7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horizont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/>
    <x:xf numFmtId="0" fontId="13" fillId="8" borderId="1" xfId="0" applyNumberFormat="1" applyFont="1" applyFill="1" applyBorder="1" applyAlignment="1">
      <x:alignment horizont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4" fillId="9" borderId="1" xfId="0" applyNumberFormat="1" applyFont="1" applyFill="1" applyBorder="1"/>
    <x:xf numFmtId="0" fontId="14" fillId="9" borderId="1" xfId="0" applyNumberFormat="1" applyFont="1" applyFill="1" applyBorder="1" applyAlignment="1">
      <x:alignment horizontal="center"/>
    </x:xf>
    <x:xf numFmtId="0" fontId="14" fillId="9" borderId="1" xfId="0" applyNumberFormat="1" applyFont="1" applyFill="1" applyBorder="1" applyAlignment="1">
      <x:alignment horizontal="center" vertical="center"/>
    </x:xf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horizontal="center"/>
    </x:xf>
    <x:xf numFmtId="0" fontId="1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horizontal="center"/>
    </x:xf>
    <x:xf numFmtId="0" fontId="16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6" fillId="10" borderId="1" xfId="0" applyNumberFormat="1" applyFont="1" applyFill="1" applyBorder="1"/>
    <x:xf numFmtId="0" fontId="16" fillId="10" borderId="1" xfId="0" applyNumberFormat="1" applyFont="1" applyFill="1" applyBorder="1" applyAlignment="1">
      <x:alignment horizontal="center"/>
    </x:xf>
    <x:xf numFmtId="0" fontId="16" fillId="10" borderId="1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horizontal="center"/>
    </x:xf>
    <x:xf numFmtId="0" fontId="17" fillId="10" borderId="0" xfId="0" applyNumberFormat="1" applyFont="1" applyFill="1" applyBorder="1" applyAlignment="1">
      <x:alignment horizontal="center" vertical="center"/>
    </x:xf>
    <x:xf numFmtId="0" fontId="17" fillId="10" borderId="1" xfId="0" applyNumberFormat="1" applyFont="1" applyFill="1" applyBorder="1"/>
    <x:xf numFmtId="0" fontId="17" fillId="10" borderId="1" xfId="0" applyNumberFormat="1" applyFont="1" applyFill="1" applyBorder="1" applyAlignment="1">
      <x:alignment horizontal="center"/>
    </x:xf>
    <x:xf numFmtId="0" fontId="17" fillId="1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200" fontId="7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/>
    <x:xf numFmtId="0" fontId="18" fillId="11" borderId="1" xfId="0" applyNumberFormat="1" applyFont="1" applyFill="1" applyBorder="1"/>
    <x:xf numFmtId="0" fontId="18" fillId="11" borderId="1" xfId="0" applyNumberFormat="1" applyFont="1" applyFill="1" applyBorder="1" applyAlignment="1">
      <x:alignment wrapText="1"/>
    </x:xf>
    <x:xf numFmtId="0" fontId="18" fillId="11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17" fillId="10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 applyAlignment="1">
      <x:alignment horizontal="center" vertical="center" wrapText="1"/>
    </x:xf>
    <x:xf numFmtId="200" fontId="0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200" fontId="20" fillId="13" borderId="0" xfId="0" applyNumberFormat="1" applyFont="1" applyFill="1" applyBorder="1" applyAlignment="1">
      <x:alignment horizontal="center" vertical="center" wrapText="1"/>
    </x:xf>
    <x:xf numFmtId="0" fontId="20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B7791F"/>
      </x:font>
      <x:fill>
        <x:patternFill>
          <x:bgColor rgb="FFFFF4D6"/>
        </x:patternFill>
      </x:fill>
    </x:dxf>
    <x:dxf>
      <x:font>
        <x:b/>
        <x:color rgb="FF607D8B"/>
      </x:font>
      <x:fill>
        <x:patternFill>
          <x:bgColor rgb="FFECEFF1"/>
        </x:patternFill>
      </x:fill>
    </x:dxf>
    <x:dxf>
      <x:font>
        <x:b/>
        <x:color rgb="FFB3261E"/>
      </x:font>
      <x:fill>
        <x:patternFill>
          <x:bgColor rgb="FFFDE8E7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e6000b2854f62" /><Relationship Type="http://schemas.openxmlformats.org/officeDocument/2006/relationships/theme" Target="/xl/theme/theme1.xml" Id="Rdb6fb32576ca462c" /><Relationship Type="http://schemas.openxmlformats.org/officeDocument/2006/relationships/sharedStrings" Target="/xl/sharedStrings.xml" Id="R26a8b45559c747d5" /><Relationship Type="http://schemas.openxmlformats.org/officeDocument/2006/relationships/worksheet" Target="/xl/worksheets/sheet1.xml" Id="R2f86c48168984c8c" /><Relationship Type="http://schemas.openxmlformats.org/officeDocument/2006/relationships/worksheet" Target="/xl/worksheets/sheet2.xml" Id="Re2b69f63321c4ab4" /><Relationship Type="http://schemas.openxmlformats.org/officeDocument/2006/relationships/worksheet" Target="/xl/worksheets/sheet3.xml" Id="Rb2393d152ede47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78e32f84c84ae6" /><Relationship Type="http://schemas.openxmlformats.org/officeDocument/2006/relationships/chart" Target="/xl/drawings/charts/chart2.xml" Id="Rd2c48df72fb14d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estado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Cantidad</c:v>
          </c:tx>
          <c:cat>
            <c:strRef>
              <c:f>'Resumen Ejecutivo'!$A$11:$A$16</c:f>
              <c:strCache>
                <c:ptCount val="0"/>
              </c:strCache>
            </c:strRef>
          </c:cat>
          <c:val>
            <c:numRef>
              <c:f>'Resumen Ejecutivo'!$B$11:$B$16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Avance por gate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 Ejecutivo'!$E$11:$E$15</c:f>
              <c:strCache>
                <c:ptCount val="0"/>
              </c:strCache>
            </c:strRef>
          </c:cat>
          <c:val>
            <c:numRef>
              <c:f>'Resumen Ejecutivo'!$F$11:$F$15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Entregados</c:v>
          </c:tx>
          <c:cat>
            <c:strRef>
              <c:f>'Resumen Ejecutivo'!$E$11:$E$15</c:f>
              <c:strCache>
                <c:ptCount val="0"/>
              </c:strCache>
            </c:strRef>
          </c:cat>
          <c:val>
            <c:numRef>
              <c:f>'Resumen Ejecutivo'!$G$11:$G$15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% avance</c:v>
          </c:tx>
          <c:cat>
            <c:strRef>
              <c:f>'Resumen Ejecutivo'!$E$11:$E$15</c:f>
              <c:strCache>
                <c:ptCount val="0"/>
              </c:strCache>
            </c:strRef>
          </c:cat>
          <c:val>
            <c:numRef>
              <c:f>'Resumen Ejecutivo'!$H$11:$H$15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78e32f84c84ae6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48df72fb14d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erimientosPROINED" displayName="RequerimientosPROINED" ref="A5:M55" headerRowCount="1">
  <x:tableColumns count="13">
    <x:tableColumn id="1" name="ID"/>
    <x:tableColumn id="2" name="Gate"/>
    <x:tableColumn id="3" name="Requerimiento"/>
    <x:tableColumn id="4" name="Tipo"/>
    <x:tableColumn id="5" name="Estado"/>
    <x:tableColumn id="6" name="Responsable"/>
    <x:tableColumn id="7" name="Aprobador"/>
    <x:tableColumn id="8" name="Bloquea"/>
    <x:tableColumn id="9" name="Dependencia"/>
    <x:tableColumn id="10" name="Criterio de aceptación"/>
    <x:tableColumn id="11" name="Evidencia"/>
    <x:tableColumn id="12" name="Fuente"/>
    <x:tableColumn id="13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169c9edb984d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65e39fcd034f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4" hidden="0" customWidth="1"/>
    <x:col min="5" max="5" width="28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36" customHeight="1">
      <x:c r="A1" s="136" t="str">
        <x:v>PROINED</x:v>
      </x:c>
      <x:c r="B1" s="136"/>
      <x:c r="C1" s="136"/>
      <x:c r="D1" s="136"/>
      <x:c r="E1" s="136"/>
      <x:c r="F1" s="136"/>
      <x:c r="G1" s="136"/>
      <x:c r="H1" s="136"/>
    </x:row>
    <x:row r="2">
      <x:c r="A2" s="137" t="str">
        <x:v>Matriz Ejecutiva de Requerimientos · Implementación CRM SPERANT</x:v>
      </x:c>
      <x:c r="B2" s="137"/>
      <x:c r="C2" s="137"/>
      <x:c r="D2" s="137"/>
      <x:c r="E2" s="137"/>
      <x:c r="F2" s="137"/>
      <x:c r="G2" s="137"/>
      <x:c r="H2" s="137"/>
    </x:row>
    <x:row r="3">
      <x:c r="A3" s="138" t="str">
        <x:v>Resumen de situación para revisión directiva · 16 de julio de 2026</x:v>
      </x:c>
      <x:c r="B3" s="138"/>
      <x:c r="C3" s="138"/>
      <x:c r="D3" s="138"/>
      <x:c r="E3" s="138"/>
      <x:c r="F3" s="138"/>
      <x:c r="G3" s="138"/>
      <x:c r="H3" s="138"/>
    </x:row>
    <x:row r="4">
      <x:c r="A4" s="139"/>
      <x:c r="B4" s="139"/>
      <x:c r="C4" s="139"/>
      <x:c r="D4" s="139"/>
      <x:c r="E4" s="139"/>
      <x:c r="F4" s="139"/>
      <x:c r="G4" s="139"/>
      <x:c r="H4" s="139"/>
    </x:row>
    <x:row r="5">
      <x:c r="A5" s="140" t="str">
        <x:v>Total requerimientos</x:v>
      </x:c>
      <x:c r="B5" s="140"/>
      <x:c r="C5" s="141" t="str">
        <x:v>Entregados</x:v>
      </x:c>
      <x:c r="D5" s="141"/>
      <x:c r="E5" s="142" t="str">
        <x:v>En revisión</x:v>
      </x:c>
      <x:c r="F5" s="142"/>
      <x:c r="G5" s="143" t="str">
        <x:v>No solicitados</x:v>
      </x:c>
      <x:c r="H5" s="143"/>
    </x:row>
    <x:row r="6">
      <x:c r="A6" s="144" t="n">
        <x:f>COUNTA('Matriz Ejecutiva'!$A$6:$A$1000)+0*NOW()</x:f>
        <x:v>50</x:v>
      </x:c>
      <x:c r="B6" s="144"/>
      <x:c r="C6" s="145" t="n">
        <x:f>COUNTIF('Matriz Ejecutiva'!$E$6:$E$1000,"Entregado")+0*NOW()</x:f>
        <x:v>2</x:v>
      </x:c>
      <x:c r="D6" s="145"/>
      <x:c r="E6" s="146" t="n">
        <x:f>COUNTIF('Matriz Ejecutiva'!$E$6:$E$1000,"En revisión")+0*NOW()</x:f>
        <x:v>8</x:v>
      </x:c>
      <x:c r="F6" s="146"/>
      <x:c r="G6" s="147" t="n">
        <x:f>COUNTIF('Matriz Ejecutiva'!$E$6:$E$1000,"No solicitado")+0*NOW()</x:f>
        <x:v>16</x:v>
      </x:c>
      <x:c r="H6" s="147"/>
    </x:row>
    <x:row r="7">
      <x:c r="A7" s="144"/>
      <x:c r="B7" s="144"/>
      <x:c r="C7" s="145"/>
      <x:c r="D7" s="145"/>
      <x:c r="E7" s="146"/>
      <x:c r="F7" s="146"/>
      <x:c r="G7" s="147"/>
      <x:c r="H7" s="147"/>
    </x:row>
    <x:row r="8">
      <x:c r="A8" s="157" t="str">
        <x:v>Avance global por entregables</x:v>
      </x:c>
      <x:c r="B8" s="157"/>
      <x:c r="C8" s="157"/>
      <x:c r="D8" s="139"/>
      <x:c r="E8" s="139"/>
      <x:c r="F8" s="139"/>
      <x:c r="G8" s="139"/>
      <x:c r="H8" s="139"/>
    </x:row>
    <x:row r="9">
      <x:c r="A9" s="160" t="n">
        <x:f>IF(A6=0,0,C6/A6)+0*NOW()</x:f>
        <x:v>0.04</x:v>
      </x:c>
      <x:c r="B9" s="161"/>
      <x:c r="C9" s="161"/>
      <x:c r="D9" s="139"/>
      <x:c r="E9" s="139"/>
      <x:c r="F9" s="139"/>
      <x:c r="G9" s="139"/>
      <x:c r="H9" s="139"/>
    </x:row>
    <x:row r="10">
      <x:c r="A10" s="148" t="str">
        <x:v>Estado</x:v>
      </x:c>
      <x:c r="B10" s="148" t="str">
        <x:v>Cantidad</x:v>
      </x:c>
      <x:c r="C10" s="148" t="str">
        <x:v>% del total</x:v>
      </x:c>
      <x:c r="D10" s="139"/>
      <x:c r="E10" s="148" t="str">
        <x:v>Gate / Frente</x:v>
      </x:c>
      <x:c r="F10" s="148" t="str">
        <x:v>Cantidad</x:v>
      </x:c>
      <x:c r="G10" s="148" t="str">
        <x:v>Entregados</x:v>
      </x:c>
      <x:c r="H10" s="148" t="str">
        <x:v>% avance</x:v>
      </x:c>
    </x:row>
    <x:row r="11">
      <x:c r="A11" s="122" t="str">
        <x:v>Entregado</x:v>
      </x:c>
      <x:c r="B11" s="122" t="n">
        <x:f>COUNTIF('Matriz Ejecutiva'!$E$6:$E$1000,A11)+0*NOW()</x:f>
        <x:v>2</x:v>
      </x:c>
      <x:c r="C11" s="123" t="n">
        <x:f>IF($A$6=0,0,B11/$A$6)+0*NOW()</x:f>
        <x:v>0.04</x:v>
      </x:c>
      <x:c r="D11" s="139"/>
      <x:c r="E11" s="122" t="str">
        <x:v>Gate 1 — Estrategia</x:v>
      </x:c>
      <x:c r="F11" s="122" t="n">
        <x:f>COUNTIF('Matriz Ejecutiva'!$B$6:$B$1000,E11)+0*NOW()</x:f>
        <x:v>10</x:v>
      </x:c>
      <x:c r="G11" s="122" t="n">
        <x:f>COUNTIFS('Matriz Ejecutiva'!$B$6:$B$1000,E11,'Matriz Ejecutiva'!$E$6:$E$1000,"Entregado")+0*NOW()</x:f>
        <x:v>1</x:v>
      </x:c>
      <x:c r="H11" s="123" t="n">
        <x:f>IF(F11=0,0,G11/F11)+0*NOW()</x:f>
        <x:v>0.1</x:v>
      </x:c>
    </x:row>
    <x:row r="12">
      <x:c r="A12" s="122" t="str">
        <x:v>En revisión</x:v>
      </x:c>
      <x:c r="B12" s="122" t="n">
        <x:f>COUNTIF('Matriz Ejecutiva'!$E$6:$E$1000,A12)+0*NOW()</x:f>
        <x:v>8</x:v>
      </x:c>
      <x:c r="C12" s="123" t="n">
        <x:f>IF($A$6=0,0,B12/$A$6)+0*NOW()</x:f>
        <x:v>0.16</x:v>
      </x:c>
      <x:c r="D12" s="139"/>
      <x:c r="E12" s="122" t="str">
        <x:v>Gate 2 — Producto y oferta</x:v>
      </x:c>
      <x:c r="F12" s="122" t="n">
        <x:f>COUNTIF('Matriz Ejecutiva'!$B$6:$B$1000,E12)+0*NOW()</x:f>
        <x:v>10</x:v>
      </x:c>
      <x:c r="G12" s="122" t="n">
        <x:f>COUNTIFS('Matriz Ejecutiva'!$B$6:$B$1000,E12,'Matriz Ejecutiva'!$E$6:$E$1000,"Entregado")+0*NOW()</x:f>
        <x:v>0</x:v>
      </x:c>
      <x:c r="H12" s="123" t="n">
        <x:f>IF(F12=0,0,G12/F12)+0*NOW()</x:f>
        <x:v>0</x:v>
      </x:c>
    </x:row>
    <x:row r="13">
      <x:c r="A13" s="122" t="str">
        <x:v>No solicitado</x:v>
      </x:c>
      <x:c r="B13" s="122" t="n">
        <x:f>COUNTIF('Matriz Ejecutiva'!$E$6:$E$1000,A13)+0*NOW()</x:f>
        <x:v>16</x:v>
      </x:c>
      <x:c r="C13" s="123" t="n">
        <x:f>IF($A$6=0,0,B13/$A$6)+0*NOW()</x:f>
        <x:v>0.32</x:v>
      </x:c>
      <x:c r="D13" s="139"/>
      <x:c r="E13" s="122" t="str">
        <x:v>Gate 3 — Activos y producción</x:v>
      </x:c>
      <x:c r="F13" s="122" t="n">
        <x:f>COUNTIF('Matriz Ejecutiva'!$B$6:$B$1000,E13)+0*NOW()</x:f>
        <x:v>10</x:v>
      </x:c>
      <x:c r="G13" s="122" t="n">
        <x:f>COUNTIFS('Matriz Ejecutiva'!$B$6:$B$1000,E13,'Matriz Ejecutiva'!$E$6:$E$1000,"Entregado")+0*NOW()</x:f>
        <x:v>0</x:v>
      </x:c>
      <x:c r="H13" s="123" t="n">
        <x:f>IF(F13=0,0,G13/F13)+0*NOW()</x:f>
        <x:v>0</x:v>
      </x:c>
    </x:row>
    <x:row r="14">
      <x:c r="A14" s="122" t="str">
        <x:v>Bloqueado</x:v>
      </x:c>
      <x:c r="B14" s="122" t="n">
        <x:f>COUNTIF('Matriz Ejecutiva'!$E$6:$E$1000,A14)+0*NOW()</x:f>
        <x:v>13</x:v>
      </x:c>
      <x:c r="C14" s="123" t="n">
        <x:f>IF($A$6=0,0,B14/$A$6)+0*NOW()</x:f>
        <x:v>0.26</x:v>
      </x:c>
      <x:c r="D14" s="139"/>
      <x:c r="E14" s="122" t="str">
        <x:v>Gate 4 — Infraestructura y captación</x:v>
      </x:c>
      <x:c r="F14" s="122" t="n">
        <x:f>COUNTIF('Matriz Ejecutiva'!$B$6:$B$1000,E14)+0*NOW()</x:f>
        <x:v>10</x:v>
      </x:c>
      <x:c r="G14" s="122" t="n">
        <x:f>COUNTIFS('Matriz Ejecutiva'!$B$6:$B$1000,E14,'Matriz Ejecutiva'!$E$6:$E$1000,"Entregado")+0*NOW()</x:f>
        <x:v>1</x:v>
      </x:c>
      <x:c r="H14" s="123" t="n">
        <x:f>IF(F14=0,0,G14/F14)+0*NOW()</x:f>
        <x:v>0.1</x:v>
      </x:c>
    </x:row>
    <x:row r="15">
      <x:c r="A15" s="122" t="str">
        <x:v>Solicitado</x:v>
      </x:c>
      <x:c r="B15" s="122" t="n">
        <x:f>COUNTIF('Matriz Ejecutiva'!$E$6:$E$1000,A15)+0*NOW()</x:f>
        <x:v>5</x:v>
      </x:c>
      <x:c r="C15" s="123" t="n">
        <x:f>IF($A$6=0,0,B15/$A$6)+0*NOW()</x:f>
        <x:v>0.1</x:v>
      </x:c>
      <x:c r="D15" s="139"/>
      <x:c r="E15" s="122" t="str">
        <x:v>Gate 5 — Lanzamiento y operación</x:v>
      </x:c>
      <x:c r="F15" s="122" t="n">
        <x:f>COUNTIF('Matriz Ejecutiva'!$B$6:$B$1000,E15)+0*NOW()</x:f>
        <x:v>10</x:v>
      </x:c>
      <x:c r="G15" s="122" t="n">
        <x:f>COUNTIFS('Matriz Ejecutiva'!$B$6:$B$1000,E15,'Matriz Ejecutiva'!$E$6:$E$1000,"Entregado")+0*NOW()</x:f>
        <x:v>0</x:v>
      </x:c>
      <x:c r="H15" s="123" t="n">
        <x:f>IF(F15=0,0,G15/F15)+0*NOW()</x:f>
        <x:v>0</x:v>
      </x:c>
    </x:row>
    <x:row r="16">
      <x:c r="A16" s="122" t="str">
        <x:v>En preparación</x:v>
      </x:c>
      <x:c r="B16" s="122" t="n">
        <x:f>COUNTIF('Matriz Ejecutiva'!$E$6:$E$1000,A16)+0*NOW()</x:f>
        <x:v>6</x:v>
      </x:c>
      <x:c r="C16" s="123" t="n">
        <x:f>IF($A$6=0,0,B16/$A$6)+0*NOW()</x:f>
        <x:v>0.12</x:v>
      </x:c>
      <x:c r="D16" s="139"/>
      <x:c r="E16" s="139"/>
      <x:c r="F16" s="139"/>
      <x:c r="G16" s="139"/>
      <x:c r="H16" s="139"/>
    </x:row>
    <x:row r="17">
      <x:c r="A17" s="149" t="str">
        <x:v>Lectura ejecutiva</x:v>
      </x:c>
      <x:c r="B17" s="149"/>
      <x:c r="C17" s="149"/>
      <x:c r="D17" s="149"/>
      <x:c r="E17" s="149"/>
      <x:c r="F17" s="149"/>
      <x:c r="G17" s="149"/>
      <x:c r="H17" s="149"/>
    </x:row>
    <x:row r="18">
      <x:c r="A18" s="131" t="str">
        <x:f>"• "&amp;E6&amp;" requerimientos están en revisión y requieren cierre o ratificación."&amp;CHAR(10)&amp;"• "&amp;G6&amp;" requerimientos todavía no fueron solicitados; representan trabajo pendiente de activación."&amp;CHAR(10)&amp;"• "&amp;C6&amp;" requerimientos figuran como entregados; entregado no equivale necesariamente a aprobado."&amp;CHAR(10)&amp;"• Avance global por entregables: "&amp;TEXT(IF(A6=0,0,C6/A6),"0%")&amp;"."&amp;CHAR(10)&amp;"• Último recálculo: "&amp;TEXT(NOW(),"dd/mm/yyyy hh:mm")</x:f>
        <x:v>• 8 requerimientos están en revisión y requieren cierre o ratificación.
• 16 requerimientos todavía no fueron solicitados; representan trabajo pendiente de activación.
• 2 requerimientos figuran como entregados; entregado no equivale necesariamente a aprobado.
• Avance global por entregables: 4%.
• Último recálculo: 16/07/2026 00:00</x:v>
      </x:c>
      <x:c r="B18" s="131"/>
      <x:c r="C18" s="131"/>
      <x:c r="D18" s="131"/>
      <x:c r="E18" s="131"/>
      <x:c r="F18" s="131"/>
      <x:c r="G18" s="131"/>
      <x:c r="H18" s="131"/>
    </x:row>
    <x:row r="19">
      <x:c r="A19" s="131"/>
      <x:c r="B19" s="131"/>
      <x:c r="C19" s="131"/>
      <x:c r="D19" s="131"/>
      <x:c r="E19" s="131"/>
      <x:c r="F19" s="131"/>
      <x:c r="G19" s="131"/>
      <x:c r="H19" s="131"/>
    </x:row>
    <x:row r="20">
      <x:c r="A20" s="131"/>
      <x:c r="B20" s="131"/>
      <x:c r="C20" s="131"/>
      <x:c r="D20" s="131"/>
      <x:c r="E20" s="131"/>
      <x:c r="F20" s="131"/>
      <x:c r="G20" s="131"/>
      <x:c r="H20" s="131"/>
    </x:row>
    <x:row r="21">
      <x:c r="A21" s="131"/>
      <x:c r="B21" s="131"/>
      <x:c r="C21" s="131"/>
      <x:c r="D21" s="131"/>
      <x:c r="E21" s="131"/>
      <x:c r="F21" s="131"/>
      <x:c r="G21" s="131"/>
      <x:c r="H21" s="131"/>
    </x:row>
    <x:row r="22">
      <x:c r="A22" s="139"/>
      <x:c r="B22" s="139"/>
      <x:c r="C22" s="139"/>
      <x:c r="D22" s="139"/>
      <x:c r="E22" s="139"/>
      <x:c r="F22" s="139"/>
      <x:c r="G22" s="139"/>
      <x:c r="H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17:H17"/>
    <x:mergeCell ref="A18:H21"/>
    <x:mergeCell ref="A8:C8"/>
    <x:mergeCell ref="A9:C9"/>
  </x:mergeCells>
  <x:conditionalFormatting sqref="H11:H15">
    <x:cfRule type="dataBar" priority="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{2C0A2BAB-F42A-2070-2BD1-CC0F3C8B1778}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9169c9edb984d6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0A2BAB-F42A-2070-2BD1-CC0F3C8B1778}">
            <x14:dataBar gradient="1">
              <x14:cfvo type="min"/>
              <x14:cfvo type="max"/>
              <x14:fillColor rgb="FF1F4E78"/>
            </x14:dataBar>
          </x14:cfRule>
          <xm:sqref>H11:H15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34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22" hidden="0" customWidth="1"/>
    <x:col min="10" max="10" width="36" hidden="0" customWidth="1"/>
    <x:col min="11" max="11" width="36" hidden="0" customWidth="1"/>
    <x:col min="12" max="12" width="34" hidden="0" customWidth="1"/>
    <x:col min="13" max="13" width="34" hidden="0" customWidth="1"/>
  </x:cols>
  <x:sheetData>
    <x:row r="1" ht="34" customHeight="1">
      <x:c r="A1" s="5" t="str">
        <x:v>PROINED · Matriz Ejecutiva de Requerimientos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1" t="str">
        <x:v>Implementación CRM SPERANT · Documento de control operativo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>
      <x:c r="A3" s="16" t="str">
        <x:v>Versión ejecutiva · Actualizado 16/07/2026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5" ht="30" customHeight="1">
      <x:c r="A5" s="24" t="str">
        <x:v>ID</x:v>
      </x:c>
      <x:c r="B5" s="24" t="str">
        <x:v>Gate</x:v>
      </x:c>
      <x:c r="C5" s="24" t="str">
        <x:v>Requerimiento</x:v>
      </x:c>
      <x:c r="D5" s="24" t="str">
        <x:v>Tipo</x:v>
      </x:c>
      <x:c r="E5" s="24" t="str">
        <x:v>Estado</x:v>
      </x:c>
      <x:c r="F5" s="24" t="str">
        <x:v>Responsable</x:v>
      </x:c>
      <x:c r="G5" s="24" t="str">
        <x:v>Aprobador</x:v>
      </x:c>
      <x:c r="H5" s="24" t="str">
        <x:v>Bloquea</x:v>
      </x:c>
      <x:c r="I5" s="24" t="str">
        <x:v>Dependencia</x:v>
      </x:c>
      <x:c r="J5" s="24" t="str">
        <x:v>Criterio de aceptación</x:v>
      </x:c>
      <x:c r="K5" s="24" t="str">
        <x:v>Evidencia</x:v>
      </x:c>
      <x:c r="L5" s="24" t="str">
        <x:v>Fuente</x:v>
      </x:c>
      <x:c r="M5" s="24" t="str">
        <x:v>Observaciones</x:v>
      </x:c>
    </x:row>
    <x:row r="6" ht="42" customHeight="1">
      <x:c r="A6" s="36" t="str">
        <x:v>PRO-LF-001</x:v>
      </x:c>
      <x:c r="B6" s="36" t="str">
        <x:v>Gate 1 — Estrategia</x:v>
      </x:c>
      <x:c r="C6" s="36" t="str">
        <x:v>Alcance del piloto confirmado</x:v>
      </x:c>
      <x:c r="D6" s="36" t="str">
        <x:v>Gate obligatorio</x:v>
      </x:c>
      <x:c r="E6" s="36" t="str">
        <x:v>En revisión</x:v>
      </x:c>
      <x:c r="F6" s="36" t="str">
        <x:v>Carlos</x:v>
      </x:c>
      <x:c r="G6" s="36" t="str">
        <x:v>Roberto</x:v>
      </x:c>
      <x:c r="H6" s="36" t="str">
        <x:v>Estrategia</x:v>
      </x:c>
      <x:c r="I6" s="36" t="str">
        <x:v>DEC-003</x:v>
      </x:c>
      <x:c r="J6" s="36" t="str">
        <x:v>Lista cerrada de alcance, canales activos y exclusiones aprobada.</x:v>
      </x:c>
      <x:c r="K6" s="36" t="str">
        <x:v>Anexo F describe FB/IG, SDR y dos brokers; documentos amplios agregan canales.</x:v>
      </x:c>
      <x:c r="L6" s="36" t="str">
        <x:v>Anexo F p. 1; Resumen Ejecutivo tablas 9 y 20; v1 PRO-REQ-004/006/151-156</x:v>
      </x:c>
      <x:c r="M6" s="36" t="str">
        <x:v>Se puede trabajar con el alcance indicado, pero debe ratificarse.</x:v>
      </x:c>
    </x:row>
    <x:row r="7" ht="42" customHeight="1">
      <x:c r="A7" s="38" t="str">
        <x:v>PRO-LF-002</x:v>
      </x:c>
      <x:c r="B7" s="38" t="str">
        <x:v>Gate 1 — Estrategia</x:v>
      </x:c>
      <x:c r="C7" s="38" t="str">
        <x:v>Proyecto y fase identificados</x:v>
      </x:c>
      <x:c r="D7" s="38" t="str">
        <x:v>Gate obligatorio</x:v>
      </x:c>
      <x:c r="E7" s="38" t="str">
        <x:v>En revisión</x:v>
      </x:c>
      <x:c r="F7" s="38" t="str">
        <x:v>Julio</x:v>
      </x:c>
      <x:c r="G7" s="38" t="str">
        <x:v>Roberto</x:v>
      </x:c>
      <x:c r="H7" s="38" t="str">
        <x:v>Estrategia</x:v>
      </x:c>
      <x:c r="I7" s="38" t="str">
        <x:v>DEC-001 y DEC-004</x:v>
      </x:c>
      <x:c r="J7" s="38" t="str">
        <x:v>Nombre del proyecto, fase, inventario objeto y fecha objetivo constan en una ficha oficial.</x:v>
      </x:c>
      <x:c r="K7" s="38" t="str">
        <x:v>PROINED / Guayllabamba está identificado; fase e inventario son contradictorios.</x:v>
      </x:c>
      <x:c r="L7" s="38" t="str">
        <x:v>Resumen Ejecutivo P0005/tabla 4; Reunión 1 44:48-55:14; v1 PRO-REQ-001/007/016</x:v>
      </x:c>
      <x:c r="M7" s="38" t="str">
        <x:v>No usar cifras de inventario en estrategia hasta cerrar DEC-001.</x:v>
      </x:c>
    </x:row>
    <x:row r="8" ht="42" customHeight="1">
      <x:c r="A8" s="36" t="str">
        <x:v>PRO-LF-003</x:v>
      </x:c>
      <x:c r="B8" s="36" t="str">
        <x:v>Gate 1 — Estrategia</x:v>
      </x:c>
      <x:c r="C8" s="36" t="str">
        <x:v>Buyer Persona operativos validados</x:v>
      </x:c>
      <x:c r="D8" s="36" t="str">
        <x:v>Gate obligatorio</x:v>
      </x:c>
      <x:c r="E8" s="36" t="str">
        <x:v>Entregado</x:v>
      </x:c>
      <x:c r="F8" s="36" t="str">
        <x:v>Carlos</x:v>
      </x:c>
      <x:c r="G8" s="36" t="str">
        <x:v>Roberto</x:v>
      </x:c>
      <x:c r="H8" s="36" t="str">
        <x:v>Estrategia</x:v>
      </x:c>
      <x:c r="I8" s="36" t="str">
        <x:v>Ratificación del modelo comercial</x:v>
      </x:c>
      <x:c r="J8" s="36" t="str">
        <x:v>Perfiles Alto, Medio y Accesible ratificados; Diáspora marcada como futura.</x:v>
      </x:c>
      <x:c r="K8" s="36" t="str">
        <x:v>Anexo F contiene cuatro perfiles y reglas por canal.</x:v>
      </x:c>
      <x:c r="L8" s="36" t="str">
        <x:v>Anexo F pp. 1-8; v1 PRO-REQ-157</x:v>
      </x:c>
      <x:c r="M8" s="36" t="str">
        <x:v>Entregado no equivale a aprobado.</x:v>
      </x:c>
    </x:row>
    <x:row r="9" ht="42" customHeight="1">
      <x:c r="A9" s="38" t="str">
        <x:v>PRO-LF-004</x:v>
      </x:c>
      <x:c r="B9" s="38" t="str">
        <x:v>Gate 1 — Estrategia</x:v>
      </x:c>
      <x:c r="C9" s="38" t="str">
        <x:v>Canales del piloto definidos</x:v>
      </x:c>
      <x:c r="D9" s="38" t="str">
        <x:v>Gate obligatorio</x:v>
      </x:c>
      <x:c r="E9" s="38" t="str">
        <x:v>En revisión</x:v>
      </x:c>
      <x:c r="F9" s="38" t="str">
        <x:v>Carlos</x:v>
      </x:c>
      <x:c r="G9" s="38" t="str">
        <x:v>Roberto</x:v>
      </x:c>
      <x:c r="H9" s="38" t="str">
        <x:v>Estrategia</x:v>
      </x:c>
      <x:c r="I9" s="38" t="str">
        <x:v>DEC-003</x:v>
      </x:c>
      <x:c r="J9" s="38" t="str">
        <x:v>Facebook, Instagram, SDR y brokers quedan confirmados; el resto fuera del piloto.</x:v>
      </x:c>
      <x:c r="K9" s="38" t="str">
        <x:v>El alcance operativo los define, pero otros documentos proponen omnicanalidad.</x:v>
      </x:c>
      <x:c r="L9" s="38" t="str">
        <x:v>Anexo F p. 1; v1 PRO-REQ-005/006/151-156</x:v>
      </x:c>
      <x:c r="M9" s="38" t="str">
        <x:v>Marketing puede diseñar para FB/IG con restricción hasta ratificación.</x:v>
      </x:c>
    </x:row>
    <x:row r="10" ht="42" customHeight="1">
      <x:c r="A10" s="36" t="str">
        <x:v>PRO-LF-005</x:v>
      </x:c>
      <x:c r="B10" s="36" t="str">
        <x:v>Gate 1 — Estrategia</x:v>
      </x:c>
      <x:c r="C10" s="36" t="str">
        <x:v>Objetivo comercial del piloto definido</x:v>
      </x:c>
      <x:c r="D10" s="36" t="str">
        <x:v>Gate obligatorio</x:v>
      </x:c>
      <x:c r="E10" s="36" t="str">
        <x:v>No solicitado</x:v>
      </x:c>
      <x:c r="F10" s="36" t="str">
        <x:v>Carlos</x:v>
      </x:c>
      <x:c r="G10" s="36" t="str">
        <x:v>Roberto</x:v>
      </x:c>
      <x:c r="H10" s="36" t="str">
        <x:v>Estrategia</x:v>
      </x:c>
      <x:c r="I10" s="36" t="str">
        <x:v>Inventario oficial + fecha</x:v>
      </x:c>
      <x:c r="J10" s="36" t="str">
        <x:v>Objetivo cuantificado, periodo y criterio de éxito aprobados por Dirección.</x:v>
      </x:c>
      <x:c r="K10" s="36" t="str">
        <x:v>Las fuentes contienen metas amplias, no una definición cerrada del piloto restringido.</x:v>
      </x:c>
      <x:c r="L10" s="36" t="str">
        <x:v>Resumen Ejecutivo tablas 4, 16, 21 y 24; v1 PRO-REQ-086/088-090</x:v>
      </x:c>
      <x:c r="M10" s="36" t="str">
        <x:v>No confundir metas del sistema amplio con objetivo del piloto de Marketing.</x:v>
      </x:c>
    </x:row>
    <x:row r="11" ht="42" customHeight="1">
      <x:c r="A11" s="38" t="str">
        <x:v>PRO-LF-006</x:v>
      </x:c>
      <x:c r="B11" s="38" t="str">
        <x:v>Gate 1 — Estrategia</x:v>
      </x:c>
      <x:c r="C11" s="38" t="str">
        <x:v>Objetivo de Marketing definido</x:v>
      </x:c>
      <x:c r="D11" s="38" t="str">
        <x:v>Gate obligatorio</x:v>
      </x:c>
      <x:c r="E11" s="38" t="str">
        <x:v>No solicitado</x:v>
      </x:c>
      <x:c r="F11" s="38" t="str">
        <x:v>Diego</x:v>
      </x:c>
      <x:c r="G11" s="38" t="str">
        <x:v>Carlos</x:v>
      </x:c>
      <x:c r="H11" s="38" t="str">
        <x:v>Estrategia</x:v>
      </x:c>
      <x:c r="I11" s="38" t="str">
        <x:v>Objetivo comercial</x:v>
      </x:c>
      <x:c r="J11" s="38" t="str">
        <x:v>Objetivo, audiencia, canales y resultado de Marketing documentados y validados.</x:v>
      </x:c>
      <x:c r="K11" s="38" t="str">
        <x:v>No existe definición operativa aprobada.</x:v>
      </x:c>
      <x:c r="L11" s="38" t="str">
        <x:v>v1 PRO-REQ-087</x:v>
      </x:c>
      <x:c r="M11" s="38" t="str">
        <x:v>Responsabilidad válida de Marketing.</x:v>
      </x:c>
    </x:row>
    <x:row r="12" ht="42" customHeight="1">
      <x:c r="A12" s="36" t="str">
        <x:v>PRO-LF-007</x:v>
      </x:c>
      <x:c r="B12" s="36" t="str">
        <x:v>Gate 1 — Estrategia</x:v>
      </x:c>
      <x:c r="C12" s="36" t="str">
        <x:v>Propuesta de valor comunicable</x:v>
      </x:c>
      <x:c r="D12" s="36" t="str">
        <x:v>Gate obligatorio</x:v>
      </x:c>
      <x:c r="E12" s="36" t="str">
        <x:v>En revisión</x:v>
      </x:c>
      <x:c r="F12" s="36" t="str">
        <x:v>Carlos</x:v>
      </x:c>
      <x:c r="G12" s="36" t="str">
        <x:v>Roberto</x:v>
      </x:c>
      <x:c r="H12" s="36" t="str">
        <x:v>Estrategia</x:v>
      </x:c>
      <x:c r="I12" s="36" t="str">
        <x:v>Producto + legal + oferta</x:v>
      </x:c>
      <x:c r="J12" s="36" t="str">
        <x:v>Propuesta de valor usa únicamente afirmaciones sustentadas y autorizadas.</x:v>
      </x:c>
      <x:c r="K12" s="36" t="str">
        <x:v>Existen mensajes por perfil; faltan producto, precios y legal.</x:v>
      </x:c>
      <x:c r="L12" s="36" t="str">
        <x:v>Anexo F pp. 1-8; v1 PRO-REQ-018/158/159</x:v>
      </x:c>
      <x:c r="M12" s="36" t="str">
        <x:v>Puede estructurarse; no publicarse como oferta final.</x:v>
      </x:c>
    </x:row>
    <x:row r="13" ht="42" customHeight="1">
      <x:c r="A13" s="38" t="str">
        <x:v>PRO-LF-008</x:v>
      </x:c>
      <x:c r="B13" s="38" t="str">
        <x:v>Gate 1 — Estrategia</x:v>
      </x:c>
      <x:c r="C13" s="38" t="str">
        <x:v>Aprobador final de Marketing definido</x:v>
      </x:c>
      <x:c r="D13" s="38" t="str">
        <x:v>Gate obligatorio</x:v>
      </x:c>
      <x:c r="E13" s="38" t="str">
        <x:v>No solicitado</x:v>
      </x:c>
      <x:c r="F13" s="38" t="str">
        <x:v>Roberto</x:v>
      </x:c>
      <x:c r="G13" s="38" t="str">
        <x:v>Roberto</x:v>
      </x:c>
      <x:c r="H13" s="38" t="str">
        <x:v>Estrategia</x:v>
      </x:c>
      <x:c r="I13" s="38" t="str">
        <x:v>Ninguna</x:v>
      </x:c>
      <x:c r="J13" s="38" t="str">
        <x:v>Existe nombramiento nominal y SLA de aprobación.</x:v>
      </x:c>
      <x:c r="K13" s="38" t="str">
        <x:v>No hay aprobador nominal explícito para Marketing.</x:v>
      </x:c>
      <x:c r="L13" s="38" t="str">
        <x:v>v1 PRO-REQ-008/145</x:v>
      </x:c>
      <x:c r="M13" s="38" t="str">
        <x:v>Presidencia aparece en decisiones, no sustituye el nombramiento operativo.</x:v>
      </x:c>
    </x:row>
    <x:row r="14" ht="42" customHeight="1">
      <x:c r="A14" s="36" t="str">
        <x:v>PRO-LF-009</x:v>
      </x:c>
      <x:c r="B14" s="36" t="str">
        <x:v>Gate 1 — Estrategia</x:v>
      </x:c>
      <x:c r="C14" s="36" t="str">
        <x:v>Capacidad mínima de Marketing confirmada</x:v>
      </x:c>
      <x:c r="D14" s="36" t="str">
        <x:v>Gate obligatorio</x:v>
      </x:c>
      <x:c r="E14" s="36" t="str">
        <x:v>En revisión</x:v>
      </x:c>
      <x:c r="F14" s="36" t="str">
        <x:v>Diego</x:v>
      </x:c>
      <x:c r="G14" s="36" t="str">
        <x:v>Roberto</x:v>
      </x:c>
      <x:c r="H14" s="36" t="str">
        <x:v>Estrategia</x:v>
      </x:c>
      <x:c r="I14" s="36" t="str">
        <x:v>DEC-010</x:v>
      </x:c>
      <x:c r="J14" s="36" t="str">
        <x:v>Recursos, carga, alcance y ventana de producción aceptados.</x:v>
      </x:c>
      <x:c r="K14" s="36" t="str">
        <x:v>Diego condicionó plazos a recursos e insumos.</x:v>
      </x:c>
      <x:c r="L14" s="36" t="str">
        <x:v>Reunión 1 52:41-55:04; v1 PRO-REQ-141</x:v>
      </x:c>
      <x:c r="M14" s="36" t="str">
        <x:v>Diego puede iniciar estrategia, no comprometer fecha final aún.</x:v>
      </x:c>
    </x:row>
    <x:row r="15" ht="42" customHeight="1">
      <x:c r="A15" s="38" t="str">
        <x:v>PRO-LF-010</x:v>
      </x:c>
      <x:c r="B15" s="38" t="str">
        <x:v>Gate 1 — Estrategia</x:v>
      </x:c>
      <x:c r="C15" s="38" t="str">
        <x:v>Fecha de lanzamiento objetivo confirmada</x:v>
      </x:c>
      <x:c r="D15" s="38" t="str">
        <x:v>Requisito operativo</x:v>
      </x:c>
      <x:c r="E15" s="38" t="str">
        <x:v>En revisión</x:v>
      </x:c>
      <x:c r="F15" s="38" t="str">
        <x:v>Roberto</x:v>
      </x:c>
      <x:c r="G15" s="38" t="str">
        <x:v>Roberto</x:v>
      </x:c>
      <x:c r="H15" s="38" t="str">
        <x:v>No bloquea estrategia; bloquea planificación final</x:v>
      </x:c>
      <x:c r="I15" s="38" t="str">
        <x:v>DEC-004</x:v>
      </x:c>
      <x:c r="J15" s="38" t="str">
        <x:v>Fecha calendario y condiciones de inicio ratificadas.</x:v>
      </x:c>
      <x:c r="K15" s="38" t="str">
        <x:v>Se mencionó disponibilidad desde el 1 de agosto sin confirmación formal.</x:v>
      </x:c>
      <x:c r="L15" s="38" t="str">
        <x:v>Reunión 1 55:14; v1 PRO-REQ-007</x:v>
      </x:c>
      <x:c r="M15" s="38" t="str">
        <x:v>La estrategia puede avanzar con fecha tentativa.</x:v>
      </x:c>
    </x:row>
    <x:row r="16" ht="42" customHeight="1">
      <x:c r="A16" s="36" t="str">
        <x:v>PRO-LF-011</x:v>
      </x:c>
      <x:c r="B16" s="36" t="str">
        <x:v>Gate 2 — Producto y oferta</x:v>
      </x:c>
      <x:c r="C16" s="36" t="str">
        <x:v>Nombre, marca y razón social confirmados</x:v>
      </x:c>
      <x:c r="D16" s="36" t="str">
        <x:v>Gate obligatorio</x:v>
      </x:c>
      <x:c r="E16" s="36" t="str">
        <x:v>Bloqueado</x:v>
      </x:c>
      <x:c r="F16" s="36" t="str">
        <x:v>Roberto</x:v>
      </x:c>
      <x:c r="G16" s="36" t="str">
        <x:v>Roberto</x:v>
      </x:c>
      <x:c r="H16" s="36" t="str">
        <x:v>Producción y publicación</x:v>
      </x:c>
      <x:c r="I16" s="36" t="str">
        <x:v>DEC-002</x:v>
      </x:c>
      <x:c r="J16" s="36" t="str">
        <x:v>Nombre comercial, marca firmante y razón social constan por escrito.</x:v>
      </x:c>
      <x:c r="K16" s="36" t="str">
        <x:v>La reunión deja alternativas abiertas.</x:v>
      </x:c>
      <x:c r="L16" s="36" t="str">
        <x:v>Reunión 1 44:08-49:57; v1 PRO-REQ-001-003/053-055</x:v>
      </x:c>
      <x:c r="M16" s="36" t="str">
        <x:v>Marketing no decide la razón social.</x:v>
      </x:c>
    </x:row>
    <x:row r="17" ht="42" customHeight="1">
      <x:c r="A17" s="38" t="str">
        <x:v>PRO-LF-012</x:v>
      </x:c>
      <x:c r="B17" s="38" t="str">
        <x:v>Gate 2 — Producto y oferta</x:v>
      </x:c>
      <x:c r="C17" s="38" t="str">
        <x:v>Ficha oficial del proyecto disponible</x:v>
      </x:c>
      <x:c r="D17" s="38" t="str">
        <x:v>Gate obligatorio</x:v>
      </x:c>
      <x:c r="E17" s="38" t="str">
        <x:v>No solicitado</x:v>
      </x:c>
      <x:c r="F17" s="38" t="str">
        <x:v>Julio</x:v>
      </x:c>
      <x:c r="G17" s="38" t="str">
        <x:v>Carlos</x:v>
      </x:c>
      <x:c r="H17" s="38" t="str">
        <x:v>Producción</x:v>
      </x:c>
      <x:c r="I17" s="38" t="str">
        <x:v>Ubicación + producto</x:v>
      </x:c>
      <x:c r="J17" s="38" t="str">
        <x:v>Ficha incluye ubicación, accesos, servicios, diferenciales y restricciones verificadas.</x:v>
      </x:c>
      <x:c r="K17" s="38" t="str">
        <x:v>Información dispersa; no hay ficha oficial adjunta.</x:v>
      </x:c>
      <x:c r="L17" s="38" t="str">
        <x:v>v1 PRO-REQ-011-013/018-022</x:v>
      </x:c>
      <x:c r="M17" s="38" t="str">
        <x:v>El detalle está en checklist de producto.</x:v>
      </x:c>
    </x:row>
    <x:row r="18" ht="42" customHeight="1">
      <x:c r="A18" s="36" t="str">
        <x:v>PRO-LF-013</x:v>
      </x:c>
      <x:c r="B18" s="36" t="str">
        <x:v>Gate 2 — Producto y oferta</x:v>
      </x:c>
      <x:c r="C18" s="36" t="str">
        <x:v>Inventario y lotización oficiales</x:v>
      </x:c>
      <x:c r="D18" s="36" t="str">
        <x:v>Gate obligatorio</x:v>
      </x:c>
      <x:c r="E18" s="36" t="str">
        <x:v>Bloqueado</x:v>
      </x:c>
      <x:c r="F18" s="36" t="str">
        <x:v>Julio</x:v>
      </x:c>
      <x:c r="G18" s="36" t="str">
        <x:v>Roberto</x:v>
      </x:c>
      <x:c r="H18" s="36" t="str">
        <x:v>Oferta y publicación</x:v>
      </x:c>
      <x:c r="I18" s="36" t="str">
        <x:v>DEC-001</x:v>
      </x:c>
      <x:c r="J18" s="36" t="str">
        <x:v>Inventario fechado con lotes, disponibilidad, metrajes y lotización aprobada.</x:v>
      </x:c>
      <x:c r="K18" s="36" t="str">
        <x:v>Fuentes mencionan 51, 60, 80 y 81 lotes.</x:v>
      </x:c>
      <x:c r="L18" s="36" t="str">
        <x:v>Resumen Ejecutivo P0005/tabla 4; Reunión 1 00:33-00:40 y 44:48-55:14; v1 PRO-REQ-014-017</x:v>
      </x:c>
      <x:c r="M18" s="36" t="str">
        <x:v>Marketing recibe el inventario; no lo administra.</x:v>
      </x:c>
    </x:row>
    <x:row r="19" ht="42" customHeight="1">
      <x:c r="A19" s="38" t="str">
        <x:v>PRO-LF-014</x:v>
      </x:c>
      <x:c r="B19" s="38" t="str">
        <x:v>Gate 2 — Producto y oferta</x:v>
      </x:c>
      <x:c r="C19" s="38" t="str">
        <x:v>Información comunicable de fase anterior aprobada</x:v>
      </x:c>
      <x:c r="D19" s="38" t="str">
        <x:v>Requisito operativo</x:v>
      </x:c>
      <x:c r="E19" s="38" t="str">
        <x:v>En revisión</x:v>
      </x:c>
      <x:c r="F19" s="38" t="str">
        <x:v>Julio</x:v>
      </x:c>
      <x:c r="G19" s="38" t="str">
        <x:v>Carlos</x:v>
      </x:c>
      <x:c r="H19" s="38" t="str">
        <x:v>Mensajes de prueba social</x:v>
      </x:c>
      <x:c r="I19" s="38" t="str"/>
      <x:c r="J19" s="38" t="str">
        <x:v>Inventario anterior, ventas y testimonios comunicables están validados.</x:v>
      </x:c>
      <x:c r="K19" s="38" t="str">
        <x:v>Se mencionan ventas previas sin evidencia oficial adjunta.</x:v>
      </x:c>
      <x:c r="L19" s="38" t="str">
        <x:v>Reunión 1 44:48-45:37; v1 PRO-REQ-024/063/064</x:v>
      </x:c>
      <x:c r="M19" s="38" t="str">
        <x:v>No comunicar cifras hasta aprobación.</x:v>
      </x:c>
    </x:row>
    <x:row r="20" ht="42" customHeight="1">
      <x:c r="A20" s="36" t="str">
        <x:v>PRO-LF-015</x:v>
      </x:c>
      <x:c r="B20" s="36" t="str">
        <x:v>Gate 2 — Producto y oferta</x:v>
      </x:c>
      <x:c r="C20" s="36" t="str">
        <x:v>Hoja Oficial de Precios aprobada</x:v>
      </x:c>
      <x:c r="D20" s="36" t="str">
        <x:v>Gate obligatorio</x:v>
      </x:c>
      <x:c r="E20" s="36" t="str">
        <x:v>Bloqueado</x:v>
      </x:c>
      <x:c r="F20" s="36" t="str">
        <x:v>Por definir</x:v>
      </x:c>
      <x:c r="G20" s="36" t="str">
        <x:v>Roberto</x:v>
      </x:c>
      <x:c r="H20" s="36" t="str">
        <x:v>Perfil Accesible y oferta</x:v>
      </x:c>
      <x:c r="I20" s="36" t="str">
        <x:v>DEC-006</x:v>
      </x:c>
      <x:c r="J20" s="36" t="str">
        <x:v>Documento aprobado incluye todos los componentes del checklist y vigencia.</x:v>
      </x:c>
      <x:c r="K20" s="36" t="str">
        <x:v>No existe hoja oficial ni aprobación adjunta.</x:v>
      </x:c>
      <x:c r="L20" s="36" t="str">
        <x:v>Anexo F pp. 5 y 8; Resumen Ejecutivo tablas 6-7; v1 PRO-REQ-025-030/032-036/143</x:v>
      </x:c>
      <x:c r="M20" s="36" t="str">
        <x:v>Responsable de precios por definir; nunca Marketing.</x:v>
      </x:c>
    </x:row>
    <x:row r="21" ht="42" customHeight="1">
      <x:c r="A21" s="38" t="str">
        <x:v>PRO-LF-016</x:v>
      </x:c>
      <x:c r="B21" s="38" t="str">
        <x:v>Gate 2 — Producto y oferta</x:v>
      </x:c>
      <x:c r="C21" s="38" t="str">
        <x:v>Condiciones de financiamiento aprobadas</x:v>
      </x:c>
      <x:c r="D21" s="38" t="str">
        <x:v>Gate obligatorio</x:v>
      </x:c>
      <x:c r="E21" s="38" t="str">
        <x:v>Bloqueado</x:v>
      </x:c>
      <x:c r="F21" s="38" t="str">
        <x:v>Por definir</x:v>
      </x:c>
      <x:c r="G21" s="38" t="str">
        <x:v>Roberto</x:v>
      </x:c>
      <x:c r="H21" s="38" t="str">
        <x:v>Perfil Accesible y oferta</x:v>
      </x:c>
      <x:c r="I21" s="38" t="str">
        <x:v>DEC-006</x:v>
      </x:c>
      <x:c r="J21" s="38" t="str">
        <x:v>Cuota inicial, cuotas, plazos, formas de pago y elegibilidad aprobadas.</x:v>
      </x:c>
      <x:c r="K21" s="38" t="str">
        <x:v>Se afirma financiamiento directo sin condiciones aprobadas.</x:v>
      </x:c>
      <x:c r="L21" s="38" t="str">
        <x:v>Reunión 1 47:07-48:07; Anexo F pp. 3-6; v1 PRO-REQ-031-033/143</x:v>
      </x:c>
      <x:c r="M21" s="38" t="str">
        <x:v>Responsable por definir; nunca Marketing.</x:v>
      </x:c>
    </x:row>
    <x:row r="22" ht="42" customHeight="1">
      <x:c r="A22" s="36" t="str">
        <x:v>PRO-LF-017</x:v>
      </x:c>
      <x:c r="B22" s="36" t="str">
        <x:v>Gate 2 — Producto y oferta</x:v>
      </x:c>
      <x:c r="C22" s="36" t="str">
        <x:v>Condiciones comerciales comunicables</x:v>
      </x:c>
      <x:c r="D22" s="36" t="str">
        <x:v>Gate obligatorio</x:v>
      </x:c>
      <x:c r="E22" s="36" t="str">
        <x:v>Bloqueado</x:v>
      </x:c>
      <x:c r="F22" s="36" t="str">
        <x:v>Carlos</x:v>
      </x:c>
      <x:c r="G22" s="36" t="str">
        <x:v>Roberto</x:v>
      </x:c>
      <x:c r="H22" s="36" t="str">
        <x:v>Publicación</x:v>
      </x:c>
      <x:c r="I22" s="36" t="str">
        <x:v>PRO-LF-013/015/016/018</x:v>
      </x:c>
      <x:c r="J22" s="36" t="str">
        <x:v>Lista aprobada de precios, reserva, descuentos, vigencia y límites comunicables.</x:v>
      </x:c>
      <x:c r="K22" s="36" t="str">
        <x:v>No existe paquete comercial aprobado.</x:v>
      </x:c>
      <x:c r="L22" s="36" t="str">
        <x:v>Resumen Ejecutivo tablas 6-7; v1 PRO-REQ-034-036/041/101/159</x:v>
      </x:c>
      <x:c r="M22" s="36" t="str">
        <x:v>Carlos consolida; Finanzas/Legal aprueban sus materias.</x:v>
      </x:c>
    </x:row>
    <x:row r="23" ht="42" customHeight="1">
      <x:c r="A23" s="38" t="str">
        <x:v>PRO-LF-018</x:v>
      </x:c>
      <x:c r="B23" s="38" t="str">
        <x:v>Gate 2 — Producto y oferta</x:v>
      </x:c>
      <x:c r="C23" s="38" t="str">
        <x:v>Expediente legal mínimo disponible</x:v>
      </x:c>
      <x:c r="D23" s="38" t="str">
        <x:v>Gate obligatorio</x:v>
      </x:c>
      <x:c r="E23" s="38" t="str">
        <x:v>Bloqueado</x:v>
      </x:c>
      <x:c r="F23" s="38" t="str">
        <x:v>Por definir</x:v>
      </x:c>
      <x:c r="G23" s="38" t="str">
        <x:v>Roberto</x:v>
      </x:c>
      <x:c r="H23" s="38" t="str">
        <x:v>Publicación</x:v>
      </x:c>
      <x:c r="I23" s="38" t="str">
        <x:v>DEC-007</x:v>
      </x:c>
      <x:c r="J23" s="38" t="str">
        <x:v>Evidencia de legitimidad y modalidad aplicable disponible para revisión.</x:v>
      </x:c>
      <x:c r="K23" s="38" t="str">
        <x:v>Solo hay afirmación verbal de derechos y acciones.</x:v>
      </x:c>
      <x:c r="L23" s="38" t="str">
        <x:v>Reunión 1 45:37-47:07; Resumen Ejecutivo tablas 6-7; v1 PRO-REQ-037/039-043/144</x:v>
      </x:c>
      <x:c r="M23" s="38" t="str">
        <x:v>Responsable legal por definir.</x:v>
      </x:c>
    </x:row>
    <x:row r="24" ht="42" customHeight="1">
      <x:c r="A24" s="36" t="str">
        <x:v>PRO-LF-019</x:v>
      </x:c>
      <x:c r="B24" s="36" t="str">
        <x:v>Gate 2 — Producto y oferta</x:v>
      </x:c>
      <x:c r="C24" s="36" t="str">
        <x:v>Resumen jurídico comunicable aprobado</x:v>
      </x:c>
      <x:c r="D24" s="36" t="str">
        <x:v>Gate obligatorio</x:v>
      </x:c>
      <x:c r="E24" s="36" t="str">
        <x:v>Bloqueado</x:v>
      </x:c>
      <x:c r="F24" s="36" t="str">
        <x:v>Por definir</x:v>
      </x:c>
      <x:c r="G24" s="36" t="str">
        <x:v>Roberto</x:v>
      </x:c>
      <x:c r="H24" s="36" t="str">
        <x:v>Mensajes y publicación</x:v>
      </x:c>
      <x:c r="I24" s="36" t="str">
        <x:v>PRO-LF-018 + validador legal</x:v>
      </x:c>
      <x:c r="J24" s="36" t="str">
        <x:v>Resumen, argumentos antifraude y documentos visibles aprobados por Legal.</x:v>
      </x:c>
      <x:c r="K24" s="36" t="str">
        <x:v>No existe resumen jurídico aprobado.</x:v>
      </x:c>
      <x:c r="L24" s="36" t="str">
        <x:v>Anexo F pp. 3-6; v1 PRO-REQ-038/047/065/146</x:v>
      </x:c>
      <x:c r="M24" s="36" t="str">
        <x:v>Marketing adapta el formato, no valida el fondo legal.</x:v>
      </x:c>
    </x:row>
    <x:row r="25" ht="42" customHeight="1">
      <x:c r="A25" s="38" t="str">
        <x:v>PRO-LF-020</x:v>
      </x:c>
      <x:c r="B25" s="38" t="str">
        <x:v>Gate 2 — Producto y oferta</x:v>
      </x:c>
      <x:c r="C25" s="38" t="str">
        <x:v>Privacidad, consentimientos y restricciones aprobados</x:v>
      </x:c>
      <x:c r="D25" s="38" t="str">
        <x:v>Gate obligatorio</x:v>
      </x:c>
      <x:c r="E25" s="38" t="str">
        <x:v>No solicitado</x:v>
      </x:c>
      <x:c r="F25" s="38" t="str">
        <x:v>Por definir</x:v>
      </x:c>
      <x:c r="G25" s="38" t="str">
        <x:v>Roberto</x:v>
      </x:c>
      <x:c r="H25" s="38" t="str">
        <x:v>Captación y publicación</x:v>
      </x:c>
      <x:c r="I25" s="38" t="str">
        <x:v>Validador legal nominal</x:v>
      </x:c>
      <x:c r="J25" s="38" t="str">
        <x:v>Textos para formularios, consentimiento y restricciones de comunicación aprobados.</x:v>
      </x:c>
      <x:c r="K25" s="38" t="str">
        <x:v>No hay textos legales adjuntos.</x:v>
      </x:c>
      <x:c r="L25" s="38" t="str">
        <x:v>v1 PRO-REQ-044-046/048/146</x:v>
      </x:c>
      <x:c r="M25" s="38" t="str">
        <x:v>Responsable legal por definir.</x:v>
      </x:c>
    </x:row>
    <x:row r="26" ht="42" customHeight="1">
      <x:c r="A26" s="36" t="str">
        <x:v>PRO-LF-021</x:v>
      </x:c>
      <x:c r="B26" s="36" t="str">
        <x:v>Gate 3 — Activos y producción</x:v>
      </x:c>
      <x:c r="C26" s="36" t="str">
        <x:v>Identidad visual aprobada</x:v>
      </x:c>
      <x:c r="D26" s="36" t="str">
        <x:v>Gate obligatorio</x:v>
      </x:c>
      <x:c r="E26" s="36" t="str">
        <x:v>Bloqueado</x:v>
      </x:c>
      <x:c r="F26" s="36" t="str">
        <x:v>Diego</x:v>
      </x:c>
      <x:c r="G26" s="36" t="str">
        <x:v>Roberto</x:v>
      </x:c>
      <x:c r="H26" s="36" t="str">
        <x:v>Producción final</x:v>
      </x:c>
      <x:c r="I26" s="36" t="str">
        <x:v>PRO-LF-011</x:v>
      </x:c>
      <x:c r="J26" s="36" t="str">
        <x:v>Logo, manual mínimo, paleta, tipografías, firma y restricciones aprobados.</x:v>
      </x:c>
      <x:c r="K26" s="36" t="str">
        <x:v>Existe referencia a marca general; uso en PROINED no decidido.</x:v>
      </x:c>
      <x:c r="L26" s="36" t="str">
        <x:v>Reunión 1 44:08-49:57; v1 PRO-REQ-049-056</x:v>
      </x:c>
      <x:c r="M26" s="36" t="str">
        <x:v>Diego organiza/aplica; Roberto decide la marca.</x:v>
      </x:c>
    </x:row>
    <x:row r="27" ht="42" customHeight="1">
      <x:c r="A27" s="38" t="str">
        <x:v>PRO-LF-022</x:v>
      </x:c>
      <x:c r="B27" s="38" t="str">
        <x:v>Gate 3 — Activos y producción</x:v>
      </x:c>
      <x:c r="C27" s="38" t="str">
        <x:v>Paquete de información visual del proyecto disponible</x:v>
      </x:c>
      <x:c r="D27" s="38" t="str">
        <x:v>Gate obligatorio</x:v>
      </x:c>
      <x:c r="E27" s="38" t="str">
        <x:v>No solicitado</x:v>
      </x:c>
      <x:c r="F27" s="38" t="str">
        <x:v>Julio</x:v>
      </x:c>
      <x:c r="G27" s="38" t="str">
        <x:v>Diego</x:v>
      </x:c>
      <x:c r="H27" s="38" t="str">
        <x:v>Producción</x:v>
      </x:c>
      <x:c r="I27" s="38" t="str">
        <x:v>Ficha e inventario oficiales</x:v>
      </x:c>
      <x:c r="J27" s="38" t="str">
        <x:v>Planos, lotización, mapa, accesos y metrajes utilizables están entregados.</x:v>
      </x:c>
      <x:c r="K27" s="38" t="str">
        <x:v>No hay archivos visuales en sources.</x:v>
      </x:c>
      <x:c r="L27" s="38" t="str">
        <x:v>v1 PRO-REQ-014-017/060-062</x:v>
      </x:c>
      <x:c r="M27" s="38" t="str">
        <x:v>Julio entrega información; Marketing define uso creativo.</x:v>
      </x:c>
    </x:row>
    <x:row r="28" ht="42" customHeight="1">
      <x:c r="A28" s="36" t="str">
        <x:v>PRO-LF-023</x:v>
      </x:c>
      <x:c r="B28" s="36" t="str">
        <x:v>Gate 3 — Activos y producción</x:v>
      </x:c>
      <x:c r="C28" s="36" t="str">
        <x:v>Paquete fotográfico disponible y autorizado</x:v>
      </x:c>
      <x:c r="D28" s="36" t="str">
        <x:v>Gate obligatorio</x:v>
      </x:c>
      <x:c r="E28" s="36" t="str">
        <x:v>Solicitado</x:v>
      </x:c>
      <x:c r="F28" s="36" t="str">
        <x:v>Por definir</x:v>
      </x:c>
      <x:c r="G28" s="36" t="str">
        <x:v>Diego</x:v>
      </x:c>
      <x:c r="H28" s="36" t="str">
        <x:v>Producción</x:v>
      </x:c>
      <x:c r="I28" s="36" t="str">
        <x:v>Derechos de uso</x:v>
      </x:c>
      <x:c r="J28" s="36" t="str">
        <x:v>Fotografía terrestre/aérea actual, seleccionada y con autorización de uso.</x:v>
      </x:c>
      <x:c r="K28" s="36" t="str">
        <x:v>Se mencionan fotos previas, no están adjuntas.</x:v>
      </x:c>
      <x:c r="L28" s="36" t="str">
        <x:v>Reunión 1 54:03 y 56:30-57:55; v1 PRO-REQ-023/057-058/063</x:v>
      </x:c>
      <x:c r="M28" s="36" t="str">
        <x:v>Responsable de producción por definir.</x:v>
      </x:c>
    </x:row>
    <x:row r="29" ht="42" customHeight="1">
      <x:c r="A29" s="38" t="str">
        <x:v>PRO-LF-024</x:v>
      </x:c>
      <x:c r="B29" s="38" t="str">
        <x:v>Gate 3 — Activos y producción</x:v>
      </x:c>
      <x:c r="C29" s="38" t="str">
        <x:v>Paquete audiovisual disponible y autorizado</x:v>
      </x:c>
      <x:c r="D29" s="38" t="str">
        <x:v>Requisito operativo</x:v>
      </x:c>
      <x:c r="E29" s="38" t="str">
        <x:v>Solicitado</x:v>
      </x:c>
      <x:c r="F29" s="38" t="str">
        <x:v>Por definir</x:v>
      </x:c>
      <x:c r="G29" s="38" t="str">
        <x:v>Diego</x:v>
      </x:c>
      <x:c r="H29" s="38" t="str">
        <x:v>Piezas de video</x:v>
      </x:c>
      <x:c r="I29" s="38" t="str"/>
      <x:c r="J29" s="38" t="str">
        <x:v>Especificaciones y derechos cubren drone, geolocalización y recorrido.</x:v>
      </x:c>
      <x:c r="K29" s="38" t="str">
        <x:v>Se mencionan vuelos previos y nueva necesidad; no hay archivos.</x:v>
      </x:c>
      <x:c r="L29" s="38" t="str">
        <x:v>Reunión 1 54:03 y 56:30-57:55; v1 PRO-REQ-069-071</x:v>
      </x:c>
      <x:c r="M29" s="38" t="str">
        <x:v>No bloquea estrategia; sí formatos que dependan de video.</x:v>
      </x:c>
    </x:row>
    <x:row r="30" ht="42" customHeight="1">
      <x:c r="A30" s="36" t="str">
        <x:v>PRO-LF-025</x:v>
      </x:c>
      <x:c r="B30" s="36" t="str">
        <x:v>Gate 3 — Activos y producción</x:v>
      </x:c>
      <x:c r="C30" s="36" t="str">
        <x:v>Paquete de renders y representaciones aprobado</x:v>
      </x:c>
      <x:c r="D30" s="36" t="str">
        <x:v>Requisito operativo</x:v>
      </x:c>
      <x:c r="E30" s="36" t="str">
        <x:v>No solicitado</x:v>
      </x:c>
      <x:c r="F30" s="36" t="str">
        <x:v>Por definir</x:v>
      </x:c>
      <x:c r="G30" s="36" t="str">
        <x:v>Diego</x:v>
      </x:c>
      <x:c r="H30" s="36" t="str">
        <x:v>Piezas que usen representación</x:v>
      </x:c>
      <x:c r="I30" s="36" t="str"/>
      <x:c r="J30" s="36" t="str">
        <x:v>Renders y plano comercial están autorizados y no inducen a error.</x:v>
      </x:c>
      <x:c r="K30" s="36" t="str">
        <x:v>No se adjuntaron renders.</x:v>
      </x:c>
      <x:c r="L30" s="36" t="str">
        <x:v>v1 PRO-REQ-059-060</x:v>
      </x:c>
      <x:c r="M30" s="36" t="str">
        <x:v>Puede omitirse si la estrategia usa material real suficiente.</x:v>
      </x:c>
    </x:row>
    <x:row r="31" ht="42" customHeight="1">
      <x:c r="A31" s="38" t="str">
        <x:v>PRO-LF-026</x:v>
      </x:c>
      <x:c r="B31" s="38" t="str">
        <x:v>Gate 3 — Activos y producción</x:v>
      </x:c>
      <x:c r="C31" s="38" t="str">
        <x:v>Prueba social autorizada disponible</x:v>
      </x:c>
      <x:c r="D31" s="38" t="str">
        <x:v>Requisito mejorable durante piloto</x:v>
      </x:c>
      <x:c r="E31" s="38" t="str">
        <x:v>No solicitado</x:v>
      </x:c>
      <x:c r="F31" s="38" t="str">
        <x:v>Por definir</x:v>
      </x:c>
      <x:c r="G31" s="38" t="str">
        <x:v>Carlos</x:v>
      </x:c>
      <x:c r="H31" s="38" t="str">
        <x:v>No bloquea lanzamiento</x:v>
      </x:c>
      <x:c r="I31" s="38" t="str">
        <x:v>Permisos + validación de fase anterior</x:v>
      </x:c>
      <x:c r="J31" s="38" t="str">
        <x:v>Testimonios y datos de fase anterior tienen consentimiento y aprobación.</x:v>
      </x:c>
      <x:c r="K31" s="38" t="str">
        <x:v>El Anexo F los recomienda; no hay testimonios adjuntos.</x:v>
      </x:c>
      <x:c r="L31" s="38" t="str">
        <x:v>Anexo F pp. 3-6; v1 PRO-REQ-024/064</x:v>
      </x:c>
      <x:c r="M31" s="38" t="str">
        <x:v>Puede construirse durante el piloto.</x:v>
      </x:c>
    </x:row>
    <x:row r="32" ht="42" customHeight="1">
      <x:c r="A32" s="36" t="str">
        <x:v>PRO-LF-027</x:v>
      </x:c>
      <x:c r="B32" s="36" t="str">
        <x:v>Gate 3 — Activos y producción</x:v>
      </x:c>
      <x:c r="C32" s="36" t="str">
        <x:v>Documentación legal visualizable aprobada</x:v>
      </x:c>
      <x:c r="D32" s="36" t="str">
        <x:v>Gate obligatorio</x:v>
      </x:c>
      <x:c r="E32" s="36" t="str">
        <x:v>Bloqueado</x:v>
      </x:c>
      <x:c r="F32" s="36" t="str">
        <x:v>Por definir</x:v>
      </x:c>
      <x:c r="G32" s="36" t="str">
        <x:v>Roberto</x:v>
      </x:c>
      <x:c r="H32" s="36" t="str">
        <x:v>Piezas antifraude</x:v>
      </x:c>
      <x:c r="I32" s="36" t="str">
        <x:v>PRO-LF-018/019</x:v>
      </x:c>
      <x:c r="J32" s="36" t="str">
        <x:v>Legal identifica qué documentos pueden mostrarse y su formato.</x:v>
      </x:c>
      <x:c r="K32" s="36" t="str">
        <x:v>No existe paquete aprobado.</x:v>
      </x:c>
      <x:c r="L32" s="36" t="str">
        <x:v>Anexo F pp. 3-6; v1 PRO-REQ-039/065</x:v>
      </x:c>
      <x:c r="M32" s="36" t="str">
        <x:v>Marketing no selecciona unilateralmente documentos legales.</x:v>
      </x:c>
    </x:row>
    <x:row r="33" ht="42" customHeight="1">
      <x:c r="A33" s="38" t="str">
        <x:v>PRO-LF-028</x:v>
      </x:c>
      <x:c r="B33" s="38" t="str">
        <x:v>Gate 3 — Activos y producción</x:v>
      </x:c>
      <x:c r="C33" s="38" t="str">
        <x:v>Mensajes y CTA por perfil preparados</x:v>
      </x:c>
      <x:c r="D33" s="38" t="str">
        <x:v>Gate obligatorio</x:v>
      </x:c>
      <x:c r="E33" s="38" t="str">
        <x:v>En preparación</x:v>
      </x:c>
      <x:c r="F33" s="38" t="str">
        <x:v>Diego</x:v>
      </x:c>
      <x:c r="G33" s="38" t="str">
        <x:v>Carlos</x:v>
      </x:c>
      <x:c r="H33" s="38" t="str">
        <x:v>Producción final</x:v>
      </x:c>
      <x:c r="I33" s="38" t="str">
        <x:v>PRO-LF-007/017/019</x:v>
      </x:c>
      <x:c r="J33" s="38" t="str">
        <x:v>Mensaje, tono, CTA y exclusiones por perfil están listos para revisión.</x:v>
      </x:c>
      <x:c r="K33" s="38" t="str">
        <x:v>Anexo F entrega anclas y pautas; faltan oferta/legal.</x:v>
      </x:c>
      <x:c r="L33" s="38" t="str">
        <x:v>Anexo F pp. 1-8; v1 PRO-REQ-066-068/099-101</x:v>
      </x:c>
      <x:c r="M33" s="38" t="str">
        <x:v>Perfil Accesible conserva `$X` y no puede finalizarse.</x:v>
      </x:c>
    </x:row>
    <x:row r="34" ht="42" customHeight="1">
      <x:c r="A34" s="36" t="str">
        <x:v>PRO-LF-029</x:v>
      </x:c>
      <x:c r="B34" s="36" t="str">
        <x:v>Gate 3 — Activos y producción</x:v>
      </x:c>
      <x:c r="C34" s="36" t="str">
        <x:v>Criterios de aprobación de piezas definidos</x:v>
      </x:c>
      <x:c r="D34" s="36" t="str">
        <x:v>Gate obligatorio</x:v>
      </x:c>
      <x:c r="E34" s="36" t="str">
        <x:v>No solicitado</x:v>
      </x:c>
      <x:c r="F34" s="36" t="str">
        <x:v>Diego</x:v>
      </x:c>
      <x:c r="G34" s="36" t="str">
        <x:v>Roberto</x:v>
      </x:c>
      <x:c r="H34" s="36" t="str">
        <x:v>Publicación</x:v>
      </x:c>
      <x:c r="I34" s="36" t="str">
        <x:v>Aprobador + legal + oferta</x:v>
      </x:c>
      <x:c r="J34" s="36" t="str">
        <x:v>Checklist de aprobación cubre marca, CTA, fuente, activo, perfil y destino.</x:v>
      </x:c>
      <x:c r="K34" s="36" t="str">
        <x:v>No existe evidencia adjunta.</x:v>
      </x:c>
      <x:c r="L34" s="36" t="str">
        <x:v>v1 PRO-REQ-145-147</x:v>
      </x:c>
      <x:c r="M34" s="36" t="str">
        <x:v>Marketing prepara el control; aprobadores validan.</x:v>
      </x:c>
    </x:row>
    <x:row r="35" ht="42" customHeight="1">
      <x:c r="A35" s="38" t="str">
        <x:v>PRO-LF-030</x:v>
      </x:c>
      <x:c r="B35" s="38" t="str">
        <x:v>Gate 3 — Activos y producción</x:v>
      </x:c>
      <x:c r="C35" s="38" t="str">
        <x:v>Paquete mínimo de piezas por perfil producido</x:v>
      </x:c>
      <x:c r="D35" s="38" t="str">
        <x:v>Requisito operativo</x:v>
      </x:c>
      <x:c r="E35" s="38" t="str">
        <x:v>Bloqueado</x:v>
      </x:c>
      <x:c r="F35" s="38" t="str">
        <x:v>Diego</x:v>
      </x:c>
      <x:c r="G35" s="38" t="str">
        <x:v>Carlos</x:v>
      </x:c>
      <x:c r="H35" s="38" t="str">
        <x:v>Publicación</x:v>
      </x:c>
      <x:c r="I35" s="38" t="str">
        <x:v>PRO-LF-021-029</x:v>
      </x:c>
      <x:c r="J35" s="38" t="str">
        <x:v>Existe paquete mínimo aprobado para perfiles habilitados.</x:v>
      </x:c>
      <x:c r="K35" s="38" t="str">
        <x:v>Alto y Medio pueden diseñarse; Accesible bloqueado por precios/financiamiento.</x:v>
      </x:c>
      <x:c r="L35" s="38" t="str">
        <x:v>Anexo F pp. 1-8; v1 PRO-REQ-096-098</x:v>
      </x:c>
      <x:c r="M35" s="38" t="str">
        <x:v>No exige producir todos los formatos posibles.</x:v>
      </x:c>
    </x:row>
    <x:row r="36" ht="42" customHeight="1">
      <x:c r="A36" s="36" t="str">
        <x:v>PRO-LF-031</x:v>
      </x:c>
      <x:c r="B36" s="36" t="str">
        <x:v>Gate 4 — Infraestructura y captación</x:v>
      </x:c>
      <x:c r="C36" s="36" t="str">
        <x:v>Ecosistema Meta operativo</x:v>
      </x:c>
      <x:c r="D36" s="36" t="str">
        <x:v>Gate obligatorio</x:v>
      </x:c>
      <x:c r="E36" s="36" t="str">
        <x:v>Solicitado</x:v>
      </x:c>
      <x:c r="F36" s="36" t="str">
        <x:v>Diego</x:v>
      </x:c>
      <x:c r="G36" s="36" t="str">
        <x:v>Alex</x:v>
      </x:c>
      <x:c r="H36" s="36" t="str">
        <x:v>Configuración de captación</x:v>
      </x:c>
      <x:c r="I36" s="36" t="str">
        <x:v>Accesos y propiedad</x:v>
      </x:c>
      <x:c r="J36" s="36" t="str">
        <x:v>Facebook, Instagram, Business Portfolio y cuenta publicitaria operan bajo propiedad confirmada.</x:v>
      </x:c>
      <x:c r="K36" s="36" t="str">
        <x:v>Canales definidos; configuración sin evidencia.</x:v>
      </x:c>
      <x:c r="L36" s="36" t="str">
        <x:v>Cronograma semana 1 martes; v1 PRO-REQ-072-075</x:v>
      </x:c>
      <x:c r="M36" s="36" t="str">
        <x:v>Diego configura publicidad; Alex revisa infraestructura/accesos.</x:v>
      </x:c>
    </x:row>
    <x:row r="37" ht="42" customHeight="1">
      <x:c r="A37" s="38" t="str">
        <x:v>PRO-LF-032</x:v>
      </x:c>
      <x:c r="B37" s="38" t="str">
        <x:v>Gate 4 — Infraestructura y captación</x:v>
      </x:c>
      <x:c r="C37" s="38" t="str">
        <x:v>Método de pago publicitario disponible</x:v>
      </x:c>
      <x:c r="D37" s="38" t="str">
        <x:v>Gate obligatorio</x:v>
      </x:c>
      <x:c r="E37" s="38" t="str">
        <x:v>No solicitado</x:v>
      </x:c>
      <x:c r="F37" s="38" t="str">
        <x:v>Por definir</x:v>
      </x:c>
      <x:c r="G37" s="38" t="str">
        <x:v>Roberto</x:v>
      </x:c>
      <x:c r="H37" s="38" t="str">
        <x:v>Lanzamiento</x:v>
      </x:c>
      <x:c r="I37" s="38" t="str">
        <x:v>Cuenta publicitaria</x:v>
      </x:c>
      <x:c r="J37" s="38" t="str">
        <x:v>Método de pago válido y presupuesto liberado.</x:v>
      </x:c>
      <x:c r="K37" s="38" t="str">
        <x:v>No existe evidencia adjunta.</x:v>
      </x:c>
      <x:c r="L37" s="38" t="str">
        <x:v>v1 PRO-REQ-076/091</x:v>
      </x:c>
      <x:c r="M37" s="38" t="str">
        <x:v>Marketing no es responsable de liberar fondos.</x:v>
      </x:c>
    </x:row>
    <x:row r="38" ht="42" customHeight="1">
      <x:c r="A38" s="36" t="str">
        <x:v>PRO-LF-033</x:v>
      </x:c>
      <x:c r="B38" s="36" t="str">
        <x:v>Gate 4 — Infraestructura y captación</x:v>
      </x:c>
      <x:c r="C38" s="36" t="str">
        <x:v>Destino de captación definido</x:v>
      </x:c>
      <x:c r="D38" s="36" t="str">
        <x:v>Gate obligatorio</x:v>
      </x:c>
      <x:c r="E38" s="36" t="str">
        <x:v>No solicitado</x:v>
      </x:c>
      <x:c r="F38" s="36" t="str">
        <x:v>Diego</x:v>
      </x:c>
      <x:c r="G38" s="36" t="str">
        <x:v>Carlos</x:v>
      </x:c>
      <x:c r="H38" s="36" t="str">
        <x:v>Publicación</x:v>
      </x:c>
      <x:c r="I38" s="36" t="str">
        <x:v>Oferta + privacidad</x:v>
      </x:c>
      <x:c r="J38" s="36" t="str">
        <x:v>Landing, formulario o mecanismo aprobado dirige al canal correcto.</x:v>
      </x:c>
      <x:c r="K38" s="36" t="str">
        <x:v>No existe destino confirmado.</x:v>
      </x:c>
      <x:c r="L38" s="36" t="str">
        <x:v>v1 PRO-REQ-078-080/102</x:v>
      </x:c>
      <x:c r="M38" s="36" t="str">
        <x:v>Puede ser formulario nativo; dominio no es obligatorio si no se usa landing.</x:v>
      </x:c>
    </x:row>
    <x:row r="39" ht="42" customHeight="1">
      <x:c r="A39" s="38" t="str">
        <x:v>PRO-LF-034</x:v>
      </x:c>
      <x:c r="B39" s="38" t="str">
        <x:v>Gate 4 — Infraestructura y captación</x:v>
      </x:c>
      <x:c r="C39" s="38" t="str">
        <x:v>WhatsApp de recepción operativo</x:v>
      </x:c>
      <x:c r="D39" s="38" t="str">
        <x:v>Gate obligatorio</x:v>
      </x:c>
      <x:c r="E39" s="38" t="str">
        <x:v>No solicitado</x:v>
      </x:c>
      <x:c r="F39" s="38" t="str">
        <x:v>Por definir</x:v>
      </x:c>
      <x:c r="G39" s="38" t="str">
        <x:v>Carlos</x:v>
      </x:c>
      <x:c r="H39" s="38" t="str">
        <x:v>Seguimiento comercial</x:v>
      </x:c>
      <x:c r="I39" s="38" t="str">
        <x:v>Destino + operación SDR</x:v>
      </x:c>
      <x:c r="J39" s="38" t="str">
        <x:v>Número, propiedad, horario y derivación están confirmados.</x:v>
      </x:c>
      <x:c r="K39" s="38" t="str">
        <x:v>Anexo F lo usa como CTA; no hay evidencia operativa.</x:v>
      </x:c>
      <x:c r="L39" s="38" t="str">
        <x:v>Anexo F pp. 3-6; v1 PRO-REQ-080</x:v>
      </x:c>
      <x:c r="M39" s="38" t="str">
        <x:v>Marketing entrega CTA; no opera el canal.</x:v>
      </x:c>
    </x:row>
    <x:row r="40" ht="42" customHeight="1">
      <x:c r="A40" s="36" t="str">
        <x:v>PRO-LF-035</x:v>
      </x:c>
      <x:c r="B40" s="36" t="str">
        <x:v>Gate 4 — Infraestructura y captación</x:v>
      </x:c>
      <x:c r="C40" s="36" t="str">
        <x:v>Proyecto y flujo base configurados en Sperant</x:v>
      </x:c>
      <x:c r="D40" s="36" t="str">
        <x:v>Gate obligatorio</x:v>
      </x:c>
      <x:c r="E40" s="36" t="str">
        <x:v>En preparación</x:v>
      </x:c>
      <x:c r="F40" s="36" t="str">
        <x:v>Alex</x:v>
      </x:c>
      <x:c r="G40" s="36" t="str">
        <x:v>Carlos</x:v>
      </x:c>
      <x:c r="H40" s="36" t="str">
        <x:v>Captación</x:v>
      </x:c>
      <x:c r="I40" s="36" t="str">
        <x:v>DEC-008</x:v>
      </x:c>
      <x:c r="J40" s="36" t="str">
        <x:v>Proyecto, usuarios, embudo, campos y asignación mínimos configurados.</x:v>
      </x:c>
      <x:c r="K40" s="36" t="str">
        <x:v>Documentación describe capacidades; falta evidencia del piloto.</x:v>
      </x:c>
      <x:c r="L40" s="36" t="str">
        <x:v>XLSX Hoja1; Cronograma semanas 1-3; v1 PRO-REQ-010/081/103/113/123-127</x:v>
      </x:c>
      <x:c r="M40" s="36" t="str">
        <x:v>Alex integra; la administración integral debe tener dueño nominal.</x:v>
      </x:c>
    </x:row>
    <x:row r="41" ht="42" customHeight="1">
      <x:c r="A41" s="38" t="str">
        <x:v>PRO-LF-036</x:v>
      </x:c>
      <x:c r="B41" s="38" t="str">
        <x:v>Gate 4 — Infraestructura y captación</x:v>
      </x:c>
      <x:c r="C41" s="38" t="str">
        <x:v>Convención de UTMs definida</x:v>
      </x:c>
      <x:c r="D41" s="38" t="str">
        <x:v>Gate obligatorio</x:v>
      </x:c>
      <x:c r="E41" s="38" t="str">
        <x:v>Entregado</x:v>
      </x:c>
      <x:c r="F41" s="38" t="str">
        <x:v>Diego</x:v>
      </x:c>
      <x:c r="G41" s="38" t="str">
        <x:v>Carlos</x:v>
      </x:c>
      <x:c r="H41" s="38" t="str">
        <x:v>Medición y publicación</x:v>
      </x:c>
      <x:c r="I41" s="38" t="str">
        <x:v>Canales/campañas definidos</x:v>
      </x:c>
      <x:c r="J41" s="38" t="str">
        <x:v>Convención identifica fuente, medio, campaña, perfil y creativo.</x:v>
      </x:c>
      <x:c r="K41" s="38" t="str">
        <x:v>Sperant soporta hasta cinco UTM; falta documento aplicado al piloto.</x:v>
      </x:c>
      <x:c r="L41" s="38" t="str">
        <x:v>XLSX Hoja1 sección 10; v1 PRO-REQ-083/123-127</x:v>
      </x:c>
      <x:c r="M41" s="38" t="str">
        <x:v>Entregado como capacidad, requiere aplicación.</x:v>
      </x:c>
    </x:row>
    <x:row r="42" ht="42" customHeight="1">
      <x:c r="A42" s="36" t="str">
        <x:v>PRO-LF-037</x:v>
      </x:c>
      <x:c r="B42" s="36" t="str">
        <x:v>Gate 4 — Infraestructura y captación</x:v>
      </x:c>
      <x:c r="C42" s="36" t="str">
        <x:v>Medición publicitaria mínima configurada</x:v>
      </x:c>
      <x:c r="D42" s="36" t="str">
        <x:v>Requisito operativo</x:v>
      </x:c>
      <x:c r="E42" s="36" t="str">
        <x:v>No solicitado</x:v>
      </x:c>
      <x:c r="F42" s="36" t="str">
        <x:v>Diego</x:v>
      </x:c>
      <x:c r="G42" s="36" t="str">
        <x:v>Alex</x:v>
      </x:c>
      <x:c r="H42" s="36" t="str">
        <x:v>Optimización</x:v>
      </x:c>
      <x:c r="I42" s="36" t="str">
        <x:v>Ecosistema Meta + destino</x:v>
      </x:c>
      <x:c r="J42" s="36" t="str">
        <x:v>Pixel/dataset o medición equivalente registra eventos mínimos.</x:v>
      </x:c>
      <x:c r="K42" s="36" t="str">
        <x:v>No existe evidencia.</x:v>
      </x:c>
      <x:c r="L42" s="36" t="str">
        <x:v>v1 PRO-REQ-077/128</x:v>
      </x:c>
      <x:c r="M42" s="36" t="str">
        <x:v>No confundir con reportería comercial completa.</x:v>
      </x:c>
    </x:row>
    <x:row r="43" ht="42" customHeight="1">
      <x:c r="A43" s="38" t="str">
        <x:v>PRO-LF-038</x:v>
      </x:c>
      <x:c r="B43" s="38" t="str">
        <x:v>Gate 4 — Infraestructura y captación</x:v>
      </x:c>
      <x:c r="C43" s="38" t="str">
        <x:v>Accesos individuales y propiedad digital confirmados</x:v>
      </x:c>
      <x:c r="D43" s="38" t="str">
        <x:v>Gate obligatorio</x:v>
      </x:c>
      <x:c r="E43" s="38" t="str">
        <x:v>Solicitado</x:v>
      </x:c>
      <x:c r="F43" s="38" t="str">
        <x:v>Alex</x:v>
      </x:c>
      <x:c r="G43" s="38" t="str">
        <x:v>Roberto</x:v>
      </x:c>
      <x:c r="H43" s="38" t="str">
        <x:v>Configuración y trazabilidad</x:v>
      </x:c>
      <x:c r="I43" s="38" t="str">
        <x:v>Lista de usuarios</x:v>
      </x:c>
      <x:c r="J43" s="38" t="str">
        <x:v>Cada usuario tiene acceso nominal; propietario y recuperación están documentados.</x:v>
      </x:c>
      <x:c r="K43" s="38" t="str">
        <x:v>Alex exigió cuentas individuales.</x:v>
      </x:c>
      <x:c r="L43" s="38" t="str">
        <x:v>Reunión 1 27:08; v1 PRO-REQ-084-085</x:v>
      </x:c>
      <x:c r="M43" s="38" t="str">
        <x:v>No compartir credenciales.</x:v>
      </x:c>
    </x:row>
    <x:row r="44" ht="42" customHeight="1">
      <x:c r="A44" s="36" t="str">
        <x:v>PRO-LF-039</x:v>
      </x:c>
      <x:c r="B44" s="36" t="str">
        <x:v>Gate 4 — Infraestructura y captación</x:v>
      </x:c>
      <x:c r="C44" s="36" t="str">
        <x:v>Integración Meta–Sperant validada</x:v>
      </x:c>
      <x:c r="D44" s="36" t="str">
        <x:v>Gate obligatorio</x:v>
      </x:c>
      <x:c r="E44" s="36" t="str">
        <x:v>En preparación</x:v>
      </x:c>
      <x:c r="F44" s="36" t="str">
        <x:v>Alex</x:v>
      </x:c>
      <x:c r="G44" s="36" t="str">
        <x:v>Carlos</x:v>
      </x:c>
      <x:c r="H44" s="36" t="str">
        <x:v>Captación</x:v>
      </x:c>
      <x:c r="I44" s="36" t="str">
        <x:v>PRO-LF-031/033/035/036</x:v>
      </x:c>
      <x:c r="J44" s="36" t="str">
        <x:v>Lead entra con ID, origen, campaña y asignación esperada.</x:v>
      </x:c>
      <x:c r="K44" s="36" t="str">
        <x:v>Capacidad descrita, sin prueba del piloto.</x:v>
      </x:c>
      <x:c r="L44" s="36" t="str">
        <x:v>XLSX Hoja1 sección 1; Cronograma semana 2; v1 PRO-REQ-081</x:v>
      </x:c>
      <x:c r="M44" s="36" t="str">
        <x:v>No requiere resolver todas las integraciones futuras.</x:v>
      </x:c>
    </x:row>
    <x:row r="45" ht="42" customHeight="1">
      <x:c r="A45" s="38" t="str">
        <x:v>PRO-LF-040</x:v>
      </x:c>
      <x:c r="B45" s="38" t="str">
        <x:v>Gate 4 — Infraestructura y captación</x:v>
      </x:c>
      <x:c r="C45" s="38" t="str">
        <x:v>Prueba end-to-end de lead aprobada</x:v>
      </x:c>
      <x:c r="D45" s="38" t="str">
        <x:v>Gate obligatorio</x:v>
      </x:c>
      <x:c r="E45" s="38" t="str">
        <x:v>Bloqueado</x:v>
      </x:c>
      <x:c r="F45" s="38" t="str">
        <x:v>Alex</x:v>
      </x:c>
      <x:c r="G45" s="38" t="str">
        <x:v>Carlos</x:v>
      </x:c>
      <x:c r="H45" s="38" t="str">
        <x:v>Publicación y lanzamiento</x:v>
      </x:c>
      <x:c r="I45" s="38" t="str">
        <x:v>PRO-LF-031-039</x:v>
      </x:c>
      <x:c r="J45" s="38" t="str">
        <x:v>Prueba anuncio/formulario → Sperant → asignación → recepción documentada.</x:v>
      </x:c>
      <x:c r="K45" s="38" t="str">
        <x:v>No existe evidencia de prueba.</x:v>
      </x:c>
      <x:c r="L45" s="38" t="str">
        <x:v>Cronograma semana 2 miércoles; v1 PRO-REQ-082</x:v>
      </x:c>
      <x:c r="M45" s="38" t="str">
        <x:v>Bloqueo real de lanzamiento, no de estrategia.</x:v>
      </x:c>
    </x:row>
    <x:row r="46" ht="42" customHeight="1">
      <x:c r="A46" s="36" t="str">
        <x:v>PRO-LF-041</x:v>
      </x:c>
      <x:c r="B46" s="36" t="str">
        <x:v>Gate 5 — Lanzamiento y operación</x:v>
      </x:c>
      <x:c r="C46" s="36" t="str">
        <x:v>Campañas Alto y Medio listas</x:v>
      </x:c>
      <x:c r="D46" s="36" t="str">
        <x:v>Gate obligatorio</x:v>
      </x:c>
      <x:c r="E46" s="36" t="str">
        <x:v>En preparación</x:v>
      </x:c>
      <x:c r="F46" s="36" t="str">
        <x:v>Diego</x:v>
      </x:c>
      <x:c r="G46" s="36" t="str">
        <x:v>Carlos</x:v>
      </x:c>
      <x:c r="H46" s="36" t="str">
        <x:v>Lanzamiento</x:v>
      </x:c>
      <x:c r="I46" s="36" t="str">
        <x:v>Gates 2-4 mínimos</x:v>
      </x:c>
      <x:c r="J46" s="36" t="str">
        <x:v>Campañas, segmentación, mensajes, CTA, destino y activos aprobados.</x:v>
      </x:c>
      <x:c r="K46" s="36" t="str">
        <x:v>Estrategia por perfil entregada; faltan habilitantes.</x:v>
      </x:c>
      <x:c r="L46" s="36" t="str">
        <x:v>Anexo F pp. 1-4; v1 PRO-REQ-092-097/099-104</x:v>
      </x:c>
      <x:c r="M46" s="36" t="str">
        <x:v>Pueden diseñarse ahora, no publicarse.</x:v>
      </x:c>
    </x:row>
    <x:row r="47" ht="42" customHeight="1">
      <x:c r="A47" s="38" t="str">
        <x:v>PRO-LF-042</x:v>
      </x:c>
      <x:c r="B47" s="38" t="str">
        <x:v>Gate 5 — Lanzamiento y operación</x:v>
      </x:c>
      <x:c r="C47" s="38" t="str">
        <x:v>Campaña Perfil Accesible habilitada</x:v>
      </x:c>
      <x:c r="D47" s="38" t="str">
        <x:v>Gate obligatorio</x:v>
      </x:c>
      <x:c r="E47" s="38" t="str">
        <x:v>Bloqueado</x:v>
      </x:c>
      <x:c r="F47" s="38" t="str">
        <x:v>Diego</x:v>
      </x:c>
      <x:c r="G47" s="38" t="str">
        <x:v>Roberto</x:v>
      </x:c>
      <x:c r="H47" s="38" t="str">
        <x:v>Producción y lanzamiento del perfil</x:v>
      </x:c>
      <x:c r="I47" s="38" t="str">
        <x:v>PRO-LF-015 + PRO-LF-016 + PRO-LF-017 + PRO-LF-019</x:v>
      </x:c>
      <x:c r="J47" s="38" t="str">
        <x:v>Precios, financiamiento, legal, mensaje y precalificación aprobados.</x:v>
      </x:c>
      <x:c r="K47" s="38" t="str">
        <x:v>Anexo F prohíbe producir sin Hoja Oficial de Precios.</x:v>
      </x:c>
      <x:c r="L47" s="38" t="str">
        <x:v>Anexo F pp. 5-6 y 8; v1 PRO-REQ-068/098/143</x:v>
      </x:c>
      <x:c r="M47" s="38" t="str">
        <x:v>No producir contenido final ni publicar.</x:v>
      </x:c>
    </x:row>
    <x:row r="48" ht="42" customHeight="1">
      <x:c r="A48" s="36" t="str">
        <x:v>PRO-LF-043</x:v>
      </x:c>
      <x:c r="B48" s="36" t="str">
        <x:v>Gate 5 — Lanzamiento y operación</x:v>
      </x:c>
      <x:c r="C48" s="36" t="str">
        <x:v>Presupuesto liberado y distribución inicial definida</x:v>
      </x:c>
      <x:c r="D48" s="36" t="str">
        <x:v>Gate obligatorio</x:v>
      </x:c>
      <x:c r="E48" s="36" t="str">
        <x:v>No solicitado</x:v>
      </x:c>
      <x:c r="F48" s="36" t="str">
        <x:v>Por definir</x:v>
      </x:c>
      <x:c r="G48" s="36" t="str">
        <x:v>Roberto</x:v>
      </x:c>
      <x:c r="H48" s="36" t="str">
        <x:v>Lanzamiento</x:v>
      </x:c>
      <x:c r="I48" s="36" t="str">
        <x:v>Objetivos y método de pago</x:v>
      </x:c>
      <x:c r="J48" s="36" t="str">
        <x:v>Monto, periodo y distribución inicial aprobados por autoridad financiera.</x:v>
      </x:c>
      <x:c r="K48" s="36" t="str">
        <x:v>Resumen Ejecutivo menciona rango amplio, no presupuesto aprobado.</x:v>
      </x:c>
      <x:c r="L48" s="36" t="str">
        <x:v>Resumen Ejecutivo tabla 6; v1 PRO-REQ-091-095</x:v>
      </x:c>
      <x:c r="M48" s="36" t="str">
        <x:v>Diego recomienda distribución; no aprueba fondos.</x:v>
      </x:c>
    </x:row>
    <x:row r="49" ht="42" customHeight="1">
      <x:c r="A49" s="38" t="str">
        <x:v>PRO-LF-044</x:v>
      </x:c>
      <x:c r="B49" s="38" t="str">
        <x:v>Gate 5 — Lanzamiento y operación</x:v>
      </x:c>
      <x:c r="C49" s="38" t="str">
        <x:v>Aprobación final de publicación disponible</x:v>
      </x:c>
      <x:c r="D49" s="38" t="str">
        <x:v>Gate obligatorio</x:v>
      </x:c>
      <x:c r="E49" s="38" t="str">
        <x:v>Bloqueado</x:v>
      </x:c>
      <x:c r="F49" s="38" t="str">
        <x:v>Roberto</x:v>
      </x:c>
      <x:c r="G49" s="38" t="str">
        <x:v>Roberto</x:v>
      </x:c>
      <x:c r="H49" s="38" t="str">
        <x:v>Publicación</x:v>
      </x:c>
      <x:c r="I49" s="38" t="str">
        <x:v>Gates 2-4 obligatorios</x:v>
      </x:c>
      <x:c r="J49" s="38" t="str">
        <x:v>Aprobación registra piezas, canales, periodo, oferta y destinos.</x:v>
      </x:c>
      <x:c r="K49" s="38" t="str">
        <x:v>No existe aprobación explícita.</x:v>
      </x:c>
      <x:c r="L49" s="38" t="str">
        <x:v>v1 PRO-REQ-145-147</x:v>
      </x:c>
      <x:c r="M49" s="38" t="str">
        <x:v>Nada se considera aprobado por existir.</x:v>
      </x:c>
    </x:row>
    <x:row r="50" ht="42" customHeight="1">
      <x:c r="A50" s="36" t="str">
        <x:v>PRO-LF-045</x:v>
      </x:c>
      <x:c r="B50" s="36" t="str">
        <x:v>Gate 5 — Lanzamiento y operación</x:v>
      </x:c>
      <x:c r="C50" s="36" t="str">
        <x:v>SDR preparado para el piloto</x:v>
      </x:c>
      <x:c r="D50" s="36" t="str">
        <x:v>Gate obligatorio</x:v>
      </x:c>
      <x:c r="E50" s="36" t="str">
        <x:v>En preparación</x:v>
      </x:c>
      <x:c r="F50" s="36" t="str">
        <x:v>Julio</x:v>
      </x:c>
      <x:c r="G50" s="36" t="str">
        <x:v>Carlos</x:v>
      </x:c>
      <x:c r="H50" s="36" t="str">
        <x:v>Seguimiento comercial</x:v>
      </x:c>
      <x:c r="I50" s="36" t="str">
        <x:v>DEC-005 + guion + horario</x:v>
      </x:c>
      <x:c r="J50" s="36" t="str">
        <x:v>SDR conoce guion, objeciones, precalificación, registro y escalamiento.</x:v>
      </x:c>
      <x:c r="K50" s="36" t="str">
        <x:v>Anexo F contiene pautas, no guion aprobado.</x:v>
      </x:c>
      <x:c r="L50" s="36" t="str">
        <x:v>Anexo F pp. 2, 4 y 6; v1 PRO-REQ-103/106-110/114-120/142</x:v>
      </x:c>
      <x:c r="M50" s="36" t="str">
        <x:v>Marketing entrega materiales; no opera SDR.</x:v>
      </x:c>
    </x:row>
    <x:row r="51" ht="42" customHeight="1">
      <x:c r="A51" s="38" t="str">
        <x:v>PRO-LF-046</x:v>
      </x:c>
      <x:c r="B51" s="38" t="str">
        <x:v>Gate 5 — Lanzamiento y operación</x:v>
      </x:c>
      <x:c r="C51" s="38" t="str">
        <x:v>Brokers preparados para el piloto</x:v>
      </x:c>
      <x:c r="D51" s="38" t="str">
        <x:v>Requisito operativo</x:v>
      </x:c>
      <x:c r="E51" s="38" t="str">
        <x:v>No solicitado</x:v>
      </x:c>
      <x:c r="F51" s="38" t="str">
        <x:v>Por definir</x:v>
      </x:c>
      <x:c r="G51" s="38" t="str">
        <x:v>Carlos</x:v>
      </x:c>
      <x:c r="H51" s="38" t="str">
        <x:v>Canal brokers</x:v>
      </x:c>
      <x:c r="I51" s="38" t="str">
        <x:v>Dossier + reglas + derivación</x:v>
      </x:c>
      <x:c r="J51" s="38" t="str">
        <x:v>Dos brokers identificados, capacitados y con material autorizado.</x:v>
      </x:c>
      <x:c r="K51" s="38" t="str">
        <x:v>Anexo F define rol, no responsables nominales.</x:v>
      </x:c>
      <x:c r="L51" s="38" t="str">
        <x:v>Anexo F pp. 2, 4, 6 y 8; v1 PRO-REQ-111/121/142</x:v>
      </x:c>
      <x:c r="M51" s="38" t="str">
        <x:v>Marketing no gestiona brokers.</x:v>
      </x:c>
    </x:row>
    <x:row r="52" ht="42" customHeight="1">
      <x:c r="A52" s="36" t="str">
        <x:v>PRO-LF-047</x:v>
      </x:c>
      <x:c r="B52" s="36" t="str">
        <x:v>Gate 5 — Lanzamiento y operación</x:v>
      </x:c>
      <x:c r="C52" s="36" t="str">
        <x:v>SLA y flujo de asignación definidos</x:v>
      </x:c>
      <x:c r="D52" s="36" t="str">
        <x:v>Gate obligatorio</x:v>
      </x:c>
      <x:c r="E52" s="36" t="str">
        <x:v>En revisión</x:v>
      </x:c>
      <x:c r="F52" s="36" t="str">
        <x:v>Carlos</x:v>
      </x:c>
      <x:c r="G52" s="36" t="str">
        <x:v>Roberto</x:v>
      </x:c>
      <x:c r="H52" s="36" t="str">
        <x:v>Seguimiento comercial</x:v>
      </x:c>
      <x:c r="I52" s="36" t="str">
        <x:v>DEC-005/008</x:v>
      </x:c>
      <x:c r="J52" s="36" t="str">
        <x:v>Evento, plazo, horario, asignación, reasignación y dueño operativo están aprobados.</x:v>
      </x:c>
      <x:c r="K52" s="36" t="str">
        <x:v>Fuentes difieren en &lt;5 y &lt;15 min; auto-respuesta no confirmada.</x:v>
      </x:c>
      <x:c r="L52" s="36" t="str">
        <x:v>Resumen Ejecutivo tablas 11/24; XLSX Hoja1 requisitos 1.1-1.5; v1 PRO-REQ-106-113/129</x:v>
      </x:c>
      <x:c r="M52" s="36" t="str">
        <x:v>Marketing mide campañas; operación comercial cumple SLA.</x:v>
      </x:c>
    </x:row>
    <x:row r="53" ht="42" customHeight="1">
      <x:c r="A53" s="38" t="str">
        <x:v>PRO-LF-048</x:v>
      </x:c>
      <x:c r="B53" s="38" t="str">
        <x:v>Gate 5 — Lanzamiento y operación</x:v>
      </x:c>
      <x:c r="C53" s="38" t="str">
        <x:v>Dossier y manejo de objeciones disponibles</x:v>
      </x:c>
      <x:c r="D53" s="38" t="str">
        <x:v>Gate obligatorio</x:v>
      </x:c>
      <x:c r="E53" s="38" t="str">
        <x:v>En preparación</x:v>
      </x:c>
      <x:c r="F53" s="38" t="str">
        <x:v>Carlos</x:v>
      </x:c>
      <x:c r="G53" s="38" t="str">
        <x:v>Carlos</x:v>
      </x:c>
      <x:c r="H53" s="38" t="str">
        <x:v>Operación comercial</x:v>
      </x:c>
      <x:c r="I53" s="38" t="str">
        <x:v>Legal + oferta + activos</x:v>
      </x:c>
      <x:c r="J53" s="38" t="str">
        <x:v>SDR y brokers reciben dossier y respuestas autorizadas.</x:v>
      </x:c>
      <x:c r="K53" s="38" t="str">
        <x:v>Anexo F prescribe contenidos; faltan legal/precios.</x:v>
      </x:c>
      <x:c r="L53" s="38" t="str">
        <x:v>Anexo F pp. 2-6; v1 PRO-REQ-105/109-110/121-122</x:v>
      </x:c>
      <x:c r="M53" s="38" t="str">
        <x:v>Marketing diseña materiales; Comercial valida uso.</x:v>
      </x:c>
    </x:row>
    <x:row r="54" ht="42" customHeight="1">
      <x:c r="A54" s="36" t="str">
        <x:v>PRO-LF-049</x:v>
      </x:c>
      <x:c r="B54" s="36" t="str">
        <x:v>Gate 5 — Lanzamiento y operación</x:v>
      </x:c>
      <x:c r="C54" s="36" t="str">
        <x:v>Modelo mínimo de medición y reporte definido</x:v>
      </x:c>
      <x:c r="D54" s="36" t="str">
        <x:v>Requisito operativo</x:v>
      </x:c>
      <x:c r="E54" s="36" t="str">
        <x:v>Solicitado</x:v>
      </x:c>
      <x:c r="F54" s="36" t="str">
        <x:v>Diego</x:v>
      </x:c>
      <x:c r="G54" s="36" t="str">
        <x:v>Carlos</x:v>
      </x:c>
      <x:c r="H54" s="36" t="str">
        <x:v>No bloquea lanzamiento inicial</x:v>
      </x:c>
      <x:c r="I54" s="36" t="str">
        <x:v>UTMs + Sperant + objetivos</x:v>
      </x:c>
      <x:c r="J54" s="36" t="str">
        <x:v>Se definen embudo, CPL, respuesta, contacto, calificación, visitas, reservas y ventas con fuente y dueño.</x:v>
      </x:c>
      <x:c r="K54" s="36" t="str">
        <x:v>Hay requisitos de datos y frecuencia, no modelo consolidado aprobado.</x:v>
      </x:c>
      <x:c r="L54" s="36" t="str">
        <x:v>Resumen Ejecutivo tablas 24/26; v1 PRO-REQ-088-090/123-139</x:v>
      </x:c>
      <x:c r="M54" s="36" t="str">
        <x:v>CAC y conversiones avanzadas pueden madurar durante el piloto.</x:v>
      </x:c>
    </x:row>
    <x:row r="55" ht="42" customHeight="1">
      <x:c r="A55" s="38" t="str">
        <x:v>PRO-LF-050</x:v>
      </x:c>
      <x:c r="B55" s="38" t="str">
        <x:v>Gate 5 — Lanzamiento y operación</x:v>
      </x:c>
      <x:c r="C55" s="38" t="str">
        <x:v>Ciclo de optimización y aprendizajes definido</x:v>
      </x:c>
      <x:c r="D55" s="38" t="str">
        <x:v>Requisito mejorable durante piloto</x:v>
      </x:c>
      <x:c r="E55" s="38" t="str">
        <x:v>No solicitado</x:v>
      </x:c>
      <x:c r="F55" s="38" t="str">
        <x:v>Diego</x:v>
      </x:c>
      <x:c r="G55" s="38" t="str">
        <x:v>Carlos</x:v>
      </x:c>
      <x:c r="H55" s="38" t="str">
        <x:v>No bloquea lanzamiento</x:v>
      </x:c>
      <x:c r="I55" s="38" t="str">
        <x:v>Datos iniciales</x:v>
      </x:c>
      <x:c r="J55" s="38" t="str">
        <x:v>Frecuencia, criterios de pausa/escalado, revisión mensual y registro de aprendizajes están definidos.</x:v>
      </x:c>
      <x:c r="K55" s="38" t="str">
        <x:v>Las fuentes proponen reportes y revisión; no es gate de inicio.</x:v>
      </x:c>
      <x:c r="L55" s="38" t="str">
        <x:v>Resumen Ejecutivo tabla 26; v1 PRO-REQ-093-095/139-140/149-150</x:v>
      </x:c>
      <x:c r="M55" s="38" t="str">
        <x:v>Completable durante el piloto.</x:v>
      </x:c>
    </x:row>
  </x:sheetData>
  <x:mergeCells>
    <x:mergeCell ref="A1:M1"/>
    <x:mergeCell ref="A2:M2"/>
    <x:mergeCell ref="A3:M3"/>
  </x:mergeCells>
  <x:conditionalFormatting sqref="E6:E55">
    <x:cfRule type="expression" dxfId="0" priority="1">
      <x:formula>E6="Entregado"</x:formula>
    </x:cfRule>
    <x:cfRule type="expression" dxfId="1" priority="2">
      <x:formula>E6="En revisión"</x:formula>
    </x:cfRule>
    <x:cfRule type="expression" dxfId="2" priority="3">
      <x:formula>E6="No solicitado"</x:formula>
    </x:cfRule>
    <x:cfRule type="expression" dxfId="3" priority="4">
      <x:formula>E6="Bloqueado"</x:formula>
    </x:cfRule>
  </x:conditionalFormatting>
  <x:conditionalFormatting sqref="E6:E1000">
    <x:cfRule type="expression" dxfId="4" priority="5">
      <x:formula>E6="Entregado"</x:formula>
    </x:cfRule>
    <x:cfRule type="expression" dxfId="5" priority="6">
      <x:formula>E6="En revisión"</x:formula>
    </x:cfRule>
    <x:cfRule type="expression" dxfId="6" priority="7">
      <x:formula>E6="No solicitado"</x:formula>
    </x:cfRule>
    <x:cfRule type="expression" dxfId="7" priority="8">
      <x:formula>E6="Bloqueado"</x:formula>
    </x:cfRule>
    <x:cfRule type="expression" dxfId="8" priority="9">
      <x:formula>E6="Solicitado"</x:formula>
    </x:cfRule>
    <x:cfRule type="expression" dxfId="9" priority="10">
      <x:formula>E6="En preparación"</x:formula>
    </x:cfRule>
  </x:conditionalFormatting>
  <x:dataValidations count="8">
    <x:dataValidation type="list" sqref="E6:E55">
      <x:formula1>"Bloqueado,En preparación,En revisión,Entregado,No solicitado,Solicitado"</x:formula1>
    </x:dataValidation>
    <x:dataValidation type="list" sqref="D6:D55">
      <x:formula1>"Gate obligatorio,Requisito mejorable durante piloto,Requisito operativo"</x:formula1>
    </x:dataValidation>
    <x:dataValidation type="list" sqref="F6:F55">
      <x:formula1>"Alex,Carlos,Diego,Julio,Por definir,Roberto"</x:formula1>
    </x:dataValidation>
    <x:dataValidation type="list" sqref="G6:G55">
      <x:formula1>"Alex,Carlos,Diego,Roberto"</x:formula1>
    </x:dataValidation>
    <x:dataValidation type="list" sqref="E6:E1000">
      <x:formula1>'Catálogos'!$A$2:$A$7</x:formula1>
    </x:dataValidation>
    <x:dataValidation type="list" sqref="D6:D1000">
      <x:formula1>'Catálogos'!$B$2:$B$4</x:formula1>
    </x:dataValidation>
    <x:dataValidation type="list" sqref="F6:F1000">
      <x:formula1>'Catálogos'!$C$2:$C$7</x:formula1>
    </x:dataValidation>
    <x:dataValidation type="list" sqref="G6:G1000">
      <x:formula1>'Catálogos'!$D$2:$D$5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65e39fcd034f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1" t="str">
        <x:v>Estados</x:v>
      </x:c>
      <x:c r="B1" s="41" t="str">
        <x:v>Tipos</x:v>
      </x:c>
      <x:c r="C1" s="41" t="str">
        <x:v>Responsables</x:v>
      </x:c>
      <x:c r="D1" s="41" t="str">
        <x:v>Aprobadores</x:v>
      </x:c>
    </x:row>
    <x:row r="2">
      <x:c r="A2" s="45" t="str">
        <x:v>Bloqueado</x:v>
      </x:c>
      <x:c r="B2" s="45" t="str">
        <x:v>Gate obligatorio</x:v>
      </x:c>
      <x:c r="C2" s="45" t="str">
        <x:v>Alex</x:v>
      </x:c>
      <x:c r="D2" s="45" t="str">
        <x:v>Alex</x:v>
      </x:c>
    </x:row>
    <x:row r="3">
      <x:c r="A3" s="45" t="str">
        <x:v>En preparación</x:v>
      </x:c>
      <x:c r="B3" s="45" t="str">
        <x:v>Requisito mejorable durante piloto</x:v>
      </x:c>
      <x:c r="C3" s="45" t="str">
        <x:v>Carlos</x:v>
      </x:c>
      <x:c r="D3" s="45" t="str">
        <x:v>Carlos</x:v>
      </x:c>
    </x:row>
    <x:row r="4">
      <x:c r="A4" s="45" t="str">
        <x:v>En revisión</x:v>
      </x:c>
      <x:c r="B4" s="45" t="str">
        <x:v>Requisito operativo</x:v>
      </x:c>
      <x:c r="C4" s="45" t="str">
        <x:v>Diego</x:v>
      </x:c>
      <x:c r="D4" s="45" t="str">
        <x:v>Diego</x:v>
      </x:c>
    </x:row>
    <x:row r="5">
      <x:c r="A5" s="45" t="str">
        <x:v>Entregado</x:v>
      </x:c>
      <x:c r="B5" s="45"/>
      <x:c r="C5" s="45" t="str">
        <x:v>Julio</x:v>
      </x:c>
      <x:c r="D5" s="45" t="str">
        <x:v>Roberto</x:v>
      </x:c>
    </x:row>
    <x:row r="6">
      <x:c r="A6" s="45" t="str">
        <x:v>No solicitado</x:v>
      </x:c>
      <x:c r="B6" s="45"/>
      <x:c r="C6" s="45" t="str">
        <x:v>Por definir</x:v>
      </x:c>
      <x:c r="D6" s="45"/>
    </x:row>
    <x:row r="7">
      <x:c r="A7" s="45" t="str">
        <x:v>Solicitado</x:v>
      </x:c>
      <x:c r="B7" s="45"/>
      <x:c r="C7" s="45" t="str">
        <x:v>Roberto</x:v>
      </x:c>
      <x:c r="D7" s="45"/>
    </x:row>
  </x:sheetData>
  <x:pageMargins left="0.7" right="0.7" top="0.75" bottom="0.75" header="0.3" footer="0.3"/>
</x:worksheet>
</file>